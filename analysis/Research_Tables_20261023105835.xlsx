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Method_Means" sheetId="1" r:id="rId1"/>
    <sheet name="02_Starting_Placement" sheetId="2" r:id="rId2"/>
    <sheet name="03_Outcome_By_Topology" sheetId="3" r:id="rId3"/>
    <sheet name="04_Improvement_Consistency" sheetId="4" r:id="rId4"/>
    <sheet name="05_Topology_Bootstrap_CI" sheetId="5" r:id="rId5"/>
    <sheet name="06_Overlap_Steps_Joint" sheetId="6" r:id="rId6"/>
    <sheet name="07_M1_Slower_Cases" sheetId="7" r:id="rId7"/>
    <sheet name="08_Paired_100" sheetId="8" r:id="rId8"/>
    <sheet name="09_Source_and_Formulas" sheetId="9" r:id="rId9"/>
  </sheets>
</workbook>
</file>

<file path=xl/styles.xml><?xml version="1.0" encoding="utf-8"?>
<styleSheet xmlns="http://schemas.openxmlformats.org/spreadsheetml/2006/main">
  <fonts count="4">
    <font>
      <sz val="10"/>
      <name val="Aptos"/>
      <color rgb="FF17313D"/>
    </font>
    <font>
      <b/>
      <sz val="10"/>
      <name val="Aptos"/>
      <color rgb="FFFFFFFF"/>
    </font>
    <font>
      <b/>
      <sz val="10"/>
      <color rgb="FF17313D"/>
    </font>
    <font>
      <b/>
      <sz val="10"/>
      <color rgb="FF007E6E"/>
    </font>
  </fonts>
  <fills count="4">
    <fill>
      <patternFill patternType="none"/>
    </fill>
    <fill>
      <patternFill patternType="gray125"/>
    </fill>
    <fill>
      <patternFill patternType="solid">
        <fgColor rgb="FF007E6E"/>
        <bgColor indexed="64"/>
      </patternFill>
    </fill>
    <fill>
      <patternFill patternType="solid">
        <fgColor rgb="FFFF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2" fillId="3" borderId="0" xfId="0" applyFill="1" applyFon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7"/>
  <sheetViews>
    <sheetView workbookViewId="0">
      <pane ySplit="1" topLeftCell="A2" activePane="bottomLeft" state="frozen"/>
    </sheetView>
  </sheetViews>
  <cols>
    <col min="1" max="1" width="22" customWidth="1"/>
    <col min="2" max="2" width="13" customWidth="1"/>
    <col min="3" max="3" width="16" customWidth="1"/>
    <col min="4" max="4" width="16" customWidth="1"/>
    <col min="5" max="5" width="15" customWidth="1"/>
    <col min="6" max="6" width="15" customWidth="1"/>
    <col min="7" max="7" width="15" customWidth="1"/>
    <col min="8" max="8" width="15" customWidth="1"/>
    <col min="9" max="9" width="13" customWidth="1"/>
    <col min="10" max="10" width="13" customWidth="1"/>
    <col min="11" max="11" width="21" customWidth="1"/>
    <col min="12" max="12" width="21" customWidth="1"/>
    <col min="13" max="13" width="14" customWidth="1"/>
    <col min="14" max="14" width="20" customWidth="1"/>
  </cols>
  <sheetData>
    <row r="1" ht="29" customHeight="1">
      <c r="A1" s="1" t="inlineStr">
        <is>
          <t>Topology</t>
        </is>
      </c>
      <c r="B1" s="1" t="inlineStr">
        <is>
          <t>Samples</t>
        </is>
      </c>
      <c r="C1" s="1" t="inlineStr">
        <is>
          <t>M0 Coverage %</t>
        </is>
      </c>
      <c r="D1" s="1" t="inlineStr">
        <is>
          <t>M1 Coverage %</t>
        </is>
      </c>
      <c r="E1" s="1" t="inlineStr">
        <is>
          <t>M0 Revisit %</t>
        </is>
      </c>
      <c r="F1" s="1" t="inlineStr">
        <is>
          <t>M1 Revisit %</t>
        </is>
      </c>
      <c r="G1" s="1" t="inlineStr">
        <is>
          <t>M0 Overlap %</t>
        </is>
      </c>
      <c r="H1" s="1" t="inlineStr">
        <is>
          <t>M1 Overlap %</t>
        </is>
      </c>
      <c r="I1" s="1" t="inlineStr">
        <is>
          <t>M0 Steps</t>
        </is>
      </c>
      <c r="J1" s="1" t="inlineStr">
        <is>
          <t>M1 Steps</t>
        </is>
      </c>
      <c r="K1" s="1" t="inlineStr">
        <is>
          <t>Revisit reduced pp</t>
        </is>
      </c>
      <c r="L1" s="1" t="inlineStr">
        <is>
          <t>Overlap reduced pp</t>
        </is>
      </c>
      <c r="M1" s="1" t="inlineStr">
        <is>
          <t>Steps saved</t>
        </is>
      </c>
      <c r="N1" s="1" t="inlineStr">
        <is>
          <t>Steps reduction %</t>
        </is>
      </c>
    </row>
    <row r="2">
      <c r="A2" s="0" t="inlineStr">
        <is>
          <t>Open Space</t>
        </is>
      </c>
      <c r="B2" s="3">
        <v>20</v>
      </c>
      <c r="C2" s="3">
        <v>100.0</v>
      </c>
      <c r="D2" s="3">
        <v>100.0</v>
      </c>
      <c r="E2" s="3">
        <v>45.98</v>
      </c>
      <c r="F2" s="3">
        <v>11.37</v>
      </c>
      <c r="G2" s="3">
        <v>58.23</v>
      </c>
      <c r="H2" s="3">
        <v>11.53</v>
      </c>
      <c r="I2" s="3">
        <v>643.75</v>
      </c>
      <c r="J2" s="3">
        <v>500.45</v>
      </c>
      <c r="K2" s="3">
        <v>34.61</v>
      </c>
      <c r="L2" s="3">
        <v>46.69</v>
      </c>
      <c r="M2" s="3">
        <v>143.3</v>
      </c>
      <c r="N2" s="3">
        <v>22.26</v>
      </c>
    </row>
    <row r="3">
      <c r="A3" s="0" t="inlineStr">
        <is>
          <t>Partitioned Rooms</t>
        </is>
      </c>
      <c r="B3" s="3">
        <v>20</v>
      </c>
      <c r="C3" s="3">
        <v>100.0</v>
      </c>
      <c r="D3" s="3">
        <v>100.0</v>
      </c>
      <c r="E3" s="3">
        <v>54.42</v>
      </c>
      <c r="F3" s="3">
        <v>18.59</v>
      </c>
      <c r="G3" s="3">
        <v>65.94</v>
      </c>
      <c r="H3" s="3">
        <v>18.01</v>
      </c>
      <c r="I3" s="3">
        <v>676.6</v>
      </c>
      <c r="J3" s="3">
        <v>554.75</v>
      </c>
      <c r="K3" s="3">
        <v>35.83</v>
      </c>
      <c r="L3" s="3">
        <v>47.93</v>
      </c>
      <c r="M3" s="3">
        <v>121.85</v>
      </c>
      <c r="N3" s="3">
        <v>18.01</v>
      </c>
    </row>
    <row r="4">
      <c r="A4" s="0" t="inlineStr">
        <is>
          <t>Branching Corridors</t>
        </is>
      </c>
      <c r="B4" s="3">
        <v>20</v>
      </c>
      <c r="C4" s="3">
        <v>100.0</v>
      </c>
      <c r="D4" s="3">
        <v>100.0</v>
      </c>
      <c r="E4" s="3">
        <v>54.82</v>
      </c>
      <c r="F4" s="3">
        <v>22.97</v>
      </c>
      <c r="G4" s="3">
        <v>64.35</v>
      </c>
      <c r="H4" s="3">
        <v>24.13</v>
      </c>
      <c r="I4" s="3">
        <v>375.6</v>
      </c>
      <c r="J4" s="3">
        <v>249.75</v>
      </c>
      <c r="K4" s="3">
        <v>31.85</v>
      </c>
      <c r="L4" s="3">
        <v>40.22</v>
      </c>
      <c r="M4" s="3">
        <v>125.85</v>
      </c>
      <c r="N4" s="3">
        <v>33.51</v>
      </c>
    </row>
    <row r="5">
      <c r="A5" s="0" t="inlineStr">
        <is>
          <t>Serpentine</t>
        </is>
      </c>
      <c r="B5" s="3">
        <v>20</v>
      </c>
      <c r="C5" s="3">
        <v>100.0</v>
      </c>
      <c r="D5" s="3">
        <v>100.0</v>
      </c>
      <c r="E5" s="3">
        <v>51.7</v>
      </c>
      <c r="F5" s="3">
        <v>28.22</v>
      </c>
      <c r="G5" s="3">
        <v>60.78</v>
      </c>
      <c r="H5" s="3">
        <v>25.87</v>
      </c>
      <c r="I5" s="3">
        <v>371.3</v>
      </c>
      <c r="J5" s="3">
        <v>294.7</v>
      </c>
      <c r="K5" s="3">
        <v>23.48</v>
      </c>
      <c r="L5" s="3">
        <v>34.91</v>
      </c>
      <c r="M5" s="3">
        <v>76.6</v>
      </c>
      <c r="N5" s="3">
        <v>20.63</v>
      </c>
    </row>
    <row r="6">
      <c r="A6" s="0" t="inlineStr">
        <is>
          <t>Bottleneck</t>
        </is>
      </c>
      <c r="B6" s="3">
        <v>20</v>
      </c>
      <c r="C6" s="3">
        <v>100.0</v>
      </c>
      <c r="D6" s="3">
        <v>100.0</v>
      </c>
      <c r="E6" s="3">
        <v>51.97</v>
      </c>
      <c r="F6" s="3">
        <v>12.61</v>
      </c>
      <c r="G6" s="3">
        <v>65.22</v>
      </c>
      <c r="H6" s="3">
        <v>10.65</v>
      </c>
      <c r="I6" s="3">
        <v>603.65</v>
      </c>
      <c r="J6" s="3">
        <v>408.5</v>
      </c>
      <c r="K6" s="3">
        <v>39.36</v>
      </c>
      <c r="L6" s="3">
        <v>54.57</v>
      </c>
      <c r="M6" s="3">
        <v>195.15</v>
      </c>
      <c r="N6" s="3">
        <v>32.33</v>
      </c>
    </row>
    <row r="7">
      <c r="A7" s="2" t="inlineStr">
        <is>
          <t>Overall</t>
        </is>
      </c>
      <c r="B7" s="2">
        <v>100</v>
      </c>
      <c r="C7" s="2">
        <v>100.0</v>
      </c>
      <c r="D7" s="2">
        <v>100.0</v>
      </c>
      <c r="E7" s="2">
        <v>51.78</v>
      </c>
      <c r="F7" s="2">
        <v>18.75</v>
      </c>
      <c r="G7" s="2">
        <v>62.9</v>
      </c>
      <c r="H7" s="2">
        <v>18.04</v>
      </c>
      <c r="I7" s="2">
        <v>534.18</v>
      </c>
      <c r="J7" s="2">
        <v>401.63</v>
      </c>
      <c r="K7" s="2">
        <v>33.03</v>
      </c>
      <c r="L7" s="2">
        <v>44.86</v>
      </c>
      <c r="M7" s="2">
        <v>132.55</v>
      </c>
      <c r="N7" s="2">
        <v>24.81</v>
      </c>
    </row>
  </sheetData>
  <autoFilter ref="A1:N7"/>
</worksheet>
</file>

<file path=xl/worksheets/sheet2.xml><?xml version="1.0" encoding="utf-8"?>
<worksheet xmlns="http://schemas.openxmlformats.org/spreadsheetml/2006/main">
  <dimension ref="A1:M11"/>
  <sheetViews>
    <sheetView workbookViewId="0">
      <pane ySplit="1" topLeftCell="A2" activePane="bottomLeft" state="frozen"/>
    </sheetView>
  </sheetViews>
  <cols>
    <col min="1" max="1" width="22" customWidth="1"/>
    <col min="2" max="2" width="13" customWidth="1"/>
    <col min="3" max="3" width="13" customWidth="1"/>
    <col min="4" max="4" width="13" customWidth="1"/>
    <col min="5" max="5" width="13" customWidth="1"/>
    <col min="6" max="6" width="14" customWidth="1"/>
    <col min="7" max="7" width="13" customWidth="1"/>
    <col min="8" max="8" width="14" customWidth="1"/>
    <col min="9" max="9" width="21" customWidth="1"/>
    <col min="10" max="10" width="21" customWidth="1"/>
    <col min="11" max="11" width="13" customWidth="1"/>
    <col min="12" max="12" width="13" customWidth="1"/>
    <col min="13" max="13" width="13" customWidth="1"/>
  </cols>
  <sheetData>
    <row r="1" ht="29" customHeight="1">
      <c r="A1" s="1" t="inlineStr">
        <is>
          <t>Topology</t>
        </is>
      </c>
      <c r="B1" s="1" t="inlineStr">
        <is>
          <t>Start</t>
        </is>
      </c>
      <c r="C1" s="1" t="inlineStr">
        <is>
          <t>Samples</t>
        </is>
      </c>
      <c r="D1" s="1" t="inlineStr">
        <is>
          <t>M0 Steps</t>
        </is>
      </c>
      <c r="E1" s="1" t="inlineStr">
        <is>
          <t>M1 Steps</t>
        </is>
      </c>
      <c r="F1" s="1" t="inlineStr">
        <is>
          <t>Steps saved</t>
        </is>
      </c>
      <c r="G1" s="1" t="inlineStr">
        <is>
          <t>95% CI low</t>
        </is>
      </c>
      <c r="H1" s="1" t="inlineStr">
        <is>
          <t>95% CI high</t>
        </is>
      </c>
      <c r="I1" s="1" t="inlineStr">
        <is>
          <t>Revisit reduced pp</t>
        </is>
      </c>
      <c r="J1" s="1" t="inlineStr">
        <is>
          <t>Overlap reduced pp</t>
        </is>
      </c>
      <c r="K1" s="1" t="inlineStr">
        <is>
          <t>M1 faster</t>
        </is>
      </c>
      <c r="L1" s="1" t="inlineStr">
        <is>
          <t>M0 faster</t>
        </is>
      </c>
      <c r="M1" s="1" t="inlineStr">
        <is>
          <t>Tie</t>
        </is>
      </c>
    </row>
    <row r="2">
      <c r="A2" s="0" t="inlineStr">
        <is>
          <t>Open Space</t>
        </is>
      </c>
      <c r="B2" s="0" t="inlineStr">
        <is>
          <t>C</t>
        </is>
      </c>
      <c r="C2" s="3">
        <v>10</v>
      </c>
      <c r="D2" s="3">
        <v>659.3</v>
      </c>
      <c r="E2" s="3">
        <v>480.3</v>
      </c>
      <c r="F2" s="3">
        <v>179.0</v>
      </c>
      <c r="G2" s="3">
        <v>137.2</v>
      </c>
      <c r="H2" s="3">
        <v>221.0</v>
      </c>
      <c r="I2" s="3">
        <v>52.03</v>
      </c>
      <c r="J2" s="3">
        <v>73.73</v>
      </c>
      <c r="K2" s="3">
        <v>10</v>
      </c>
      <c r="L2" s="3">
        <v>0</v>
      </c>
      <c r="M2" s="3">
        <v>0</v>
      </c>
    </row>
    <row r="3">
      <c r="A3" s="0" t="inlineStr">
        <is>
          <t>Open Space</t>
        </is>
      </c>
      <c r="B3" s="0" t="inlineStr">
        <is>
          <t>D</t>
        </is>
      </c>
      <c r="C3" s="3">
        <v>10</v>
      </c>
      <c r="D3" s="3">
        <v>628.2</v>
      </c>
      <c r="E3" s="3">
        <v>520.6</v>
      </c>
      <c r="F3" s="3">
        <v>107.6</v>
      </c>
      <c r="G3" s="3">
        <v>70.3</v>
      </c>
      <c r="H3" s="3">
        <v>144.6</v>
      </c>
      <c r="I3" s="3">
        <v>17.19</v>
      </c>
      <c r="J3" s="3">
        <v>19.66</v>
      </c>
      <c r="K3" s="3">
        <v>9</v>
      </c>
      <c r="L3" s="3">
        <v>1</v>
      </c>
      <c r="M3" s="3">
        <v>0</v>
      </c>
    </row>
    <row r="4">
      <c r="A4" s="0" t="inlineStr">
        <is>
          <t>Partitioned Rooms</t>
        </is>
      </c>
      <c r="B4" s="0" t="inlineStr">
        <is>
          <t>C</t>
        </is>
      </c>
      <c r="C4" s="3">
        <v>10</v>
      </c>
      <c r="D4" s="3">
        <v>704.2</v>
      </c>
      <c r="E4" s="3">
        <v>571.3</v>
      </c>
      <c r="F4" s="3">
        <v>132.9</v>
      </c>
      <c r="G4" s="3">
        <v>93.0</v>
      </c>
      <c r="H4" s="3">
        <v>177.0</v>
      </c>
      <c r="I4" s="3">
        <v>43.15</v>
      </c>
      <c r="J4" s="3">
        <v>65.74</v>
      </c>
      <c r="K4" s="3">
        <v>10</v>
      </c>
      <c r="L4" s="3">
        <v>0</v>
      </c>
      <c r="M4" s="3">
        <v>0</v>
      </c>
    </row>
    <row r="5">
      <c r="A5" s="0" t="inlineStr">
        <is>
          <t>Partitioned Rooms</t>
        </is>
      </c>
      <c r="B5" s="0" t="inlineStr">
        <is>
          <t>D</t>
        </is>
      </c>
      <c r="C5" s="3">
        <v>10</v>
      </c>
      <c r="D5" s="3">
        <v>649.0</v>
      </c>
      <c r="E5" s="3">
        <v>538.2</v>
      </c>
      <c r="F5" s="3">
        <v>110.8</v>
      </c>
      <c r="G5" s="3">
        <v>49.2</v>
      </c>
      <c r="H5" s="3">
        <v>175.51</v>
      </c>
      <c r="I5" s="3">
        <v>28.52</v>
      </c>
      <c r="J5" s="3">
        <v>30.12</v>
      </c>
      <c r="K5" s="3">
        <v>8</v>
      </c>
      <c r="L5" s="3">
        <v>2</v>
      </c>
      <c r="M5" s="3">
        <v>0</v>
      </c>
    </row>
    <row r="6">
      <c r="A6" s="0" t="inlineStr">
        <is>
          <t>Branching Corridors</t>
        </is>
      </c>
      <c r="B6" s="0" t="inlineStr">
        <is>
          <t>C</t>
        </is>
      </c>
      <c r="C6" s="3">
        <v>10</v>
      </c>
      <c r="D6" s="3">
        <v>482.2</v>
      </c>
      <c r="E6" s="3">
        <v>283.9</v>
      </c>
      <c r="F6" s="3">
        <v>198.3</v>
      </c>
      <c r="G6" s="3">
        <v>134.1</v>
      </c>
      <c r="H6" s="3">
        <v>258.21</v>
      </c>
      <c r="I6" s="3">
        <v>44.74</v>
      </c>
      <c r="J6" s="3">
        <v>57.46</v>
      </c>
      <c r="K6" s="3">
        <v>10</v>
      </c>
      <c r="L6" s="3">
        <v>0</v>
      </c>
      <c r="M6" s="3">
        <v>0</v>
      </c>
    </row>
    <row r="7">
      <c r="A7" s="0" t="inlineStr">
        <is>
          <t>Branching Corridors</t>
        </is>
      </c>
      <c r="B7" s="0" t="inlineStr">
        <is>
          <t>D</t>
        </is>
      </c>
      <c r="C7" s="3">
        <v>10</v>
      </c>
      <c r="D7" s="3">
        <v>269.0</v>
      </c>
      <c r="E7" s="3">
        <v>215.6</v>
      </c>
      <c r="F7" s="3">
        <v>53.4</v>
      </c>
      <c r="G7" s="3">
        <v>3.5</v>
      </c>
      <c r="H7" s="3">
        <v>106.2</v>
      </c>
      <c r="I7" s="3">
        <v>18.95</v>
      </c>
      <c r="J7" s="3">
        <v>22.98</v>
      </c>
      <c r="K7" s="3">
        <v>7</v>
      </c>
      <c r="L7" s="3">
        <v>3</v>
      </c>
      <c r="M7" s="3">
        <v>0</v>
      </c>
    </row>
    <row r="8">
      <c r="A8" s="0" t="inlineStr">
        <is>
          <t>Serpentine</t>
        </is>
      </c>
      <c r="B8" s="0" t="inlineStr">
        <is>
          <t>C</t>
        </is>
      </c>
      <c r="C8" s="3">
        <v>10</v>
      </c>
      <c r="D8" s="3">
        <v>444.8</v>
      </c>
      <c r="E8" s="3">
        <v>319.2</v>
      </c>
      <c r="F8" s="3">
        <v>125.6</v>
      </c>
      <c r="G8" s="3">
        <v>51.4</v>
      </c>
      <c r="H8" s="3">
        <v>212.11</v>
      </c>
      <c r="I8" s="3">
        <v>34.11</v>
      </c>
      <c r="J8" s="3">
        <v>54.19</v>
      </c>
      <c r="K8" s="3">
        <v>10</v>
      </c>
      <c r="L8" s="3">
        <v>0</v>
      </c>
      <c r="M8" s="3">
        <v>0</v>
      </c>
    </row>
    <row r="9">
      <c r="A9" s="0" t="inlineStr">
        <is>
          <t>Serpentine</t>
        </is>
      </c>
      <c r="B9" s="0" t="inlineStr">
        <is>
          <t>D</t>
        </is>
      </c>
      <c r="C9" s="3">
        <v>10</v>
      </c>
      <c r="D9" s="3">
        <v>297.8</v>
      </c>
      <c r="E9" s="3">
        <v>270.2</v>
      </c>
      <c r="F9" s="3">
        <v>27.6</v>
      </c>
      <c r="G9" s="3">
        <v>-65.5</v>
      </c>
      <c r="H9" s="3">
        <v>128.1</v>
      </c>
      <c r="I9" s="3">
        <v>12.85</v>
      </c>
      <c r="J9" s="3">
        <v>15.63</v>
      </c>
      <c r="K9" s="3">
        <v>3</v>
      </c>
      <c r="L9" s="3">
        <v>5</v>
      </c>
      <c r="M9" s="3">
        <v>2</v>
      </c>
    </row>
    <row r="10">
      <c r="A10" s="0" t="inlineStr">
        <is>
          <t>Bottleneck</t>
        </is>
      </c>
      <c r="B10" s="0" t="inlineStr">
        <is>
          <t>C</t>
        </is>
      </c>
      <c r="C10" s="3">
        <v>10</v>
      </c>
      <c r="D10" s="3">
        <v>748.7</v>
      </c>
      <c r="E10" s="3">
        <v>413.4</v>
      </c>
      <c r="F10" s="3">
        <v>335.3</v>
      </c>
      <c r="G10" s="3">
        <v>314.7</v>
      </c>
      <c r="H10" s="3">
        <v>356.6</v>
      </c>
      <c r="I10" s="3">
        <v>57.68</v>
      </c>
      <c r="J10" s="3">
        <v>82.69</v>
      </c>
      <c r="K10" s="3">
        <v>10</v>
      </c>
      <c r="L10" s="3">
        <v>0</v>
      </c>
      <c r="M10" s="3">
        <v>0</v>
      </c>
    </row>
    <row r="11">
      <c r="A11" s="0" t="inlineStr">
        <is>
          <t>Bottleneck</t>
        </is>
      </c>
      <c r="B11" s="0" t="inlineStr">
        <is>
          <t>D</t>
        </is>
      </c>
      <c r="C11" s="3">
        <v>10</v>
      </c>
      <c r="D11" s="3">
        <v>458.6</v>
      </c>
      <c r="E11" s="3">
        <v>403.6</v>
      </c>
      <c r="F11" s="3">
        <v>55.0</v>
      </c>
      <c r="G11" s="3">
        <v>-66.3</v>
      </c>
      <c r="H11" s="3">
        <v>161.3</v>
      </c>
      <c r="I11" s="3">
        <v>21.04</v>
      </c>
      <c r="J11" s="3">
        <v>26.44</v>
      </c>
      <c r="K11" s="3">
        <v>7</v>
      </c>
      <c r="L11" s="3">
        <v>3</v>
      </c>
      <c r="M11" s="3">
        <v>0</v>
      </c>
    </row>
  </sheetData>
  <autoFilter ref="A1:M11"/>
</worksheet>
</file>

<file path=xl/worksheets/sheet3.xml><?xml version="1.0" encoding="utf-8"?>
<worksheet xmlns="http://schemas.openxmlformats.org/spreadsheetml/2006/main">
  <dimension ref="A1:H6"/>
  <sheetViews>
    <sheetView workbookViewId="0">
      <pane ySplit="1" topLeftCell="A2" activePane="bottomLeft" state="frozen"/>
    </sheetView>
  </sheetViews>
  <cols>
    <col min="1" max="1" width="22" customWidth="1"/>
    <col min="2" max="2" width="13" customWidth="1"/>
    <col min="3" max="3" width="13" customWidth="1"/>
    <col min="4" max="4" width="13" customWidth="1"/>
    <col min="5" max="5" width="13" customWidth="1"/>
    <col min="6" max="6" width="14" customWidth="1"/>
    <col min="7" max="7" width="14" customWidth="1"/>
    <col min="8" max="8" width="13" customWidth="1"/>
  </cols>
  <sheetData>
    <row r="1" ht="29" customHeight="1">
      <c r="A1" s="1" t="inlineStr">
        <is>
          <t>Topology</t>
        </is>
      </c>
      <c r="B1" s="1" t="inlineStr">
        <is>
          <t>Samples</t>
        </is>
      </c>
      <c r="C1" s="1" t="inlineStr">
        <is>
          <t>M1 faster</t>
        </is>
      </c>
      <c r="D1" s="1" t="inlineStr">
        <is>
          <t>M0 faster</t>
        </is>
      </c>
      <c r="E1" s="1" t="inlineStr">
        <is>
          <t>Tie</t>
        </is>
      </c>
      <c r="F1" s="1" t="inlineStr">
        <is>
          <t>M1 faster %</t>
        </is>
      </c>
      <c r="G1" s="1" t="inlineStr">
        <is>
          <t>M0 faster %</t>
        </is>
      </c>
      <c r="H1" s="1" t="inlineStr">
        <is>
          <t>Tie %</t>
        </is>
      </c>
    </row>
    <row r="2">
      <c r="A2" s="0" t="inlineStr">
        <is>
          <t>Open Space</t>
        </is>
      </c>
      <c r="B2" s="3">
        <v>20</v>
      </c>
      <c r="C2" s="3">
        <v>19</v>
      </c>
      <c r="D2" s="3">
        <v>1</v>
      </c>
      <c r="E2" s="3">
        <v>0</v>
      </c>
      <c r="F2" s="3">
        <v>95.0</v>
      </c>
      <c r="G2" s="3">
        <v>5.0</v>
      </c>
      <c r="H2" s="3">
        <v>0.0</v>
      </c>
    </row>
    <row r="3">
      <c r="A3" s="0" t="inlineStr">
        <is>
          <t>Partitioned Rooms</t>
        </is>
      </c>
      <c r="B3" s="3">
        <v>20</v>
      </c>
      <c r="C3" s="3">
        <v>18</v>
      </c>
      <c r="D3" s="3">
        <v>2</v>
      </c>
      <c r="E3" s="3">
        <v>0</v>
      </c>
      <c r="F3" s="3">
        <v>90.0</v>
      </c>
      <c r="G3" s="3">
        <v>10.0</v>
      </c>
      <c r="H3" s="3">
        <v>0.0</v>
      </c>
    </row>
    <row r="4">
      <c r="A4" s="0" t="inlineStr">
        <is>
          <t>Branching Corridors</t>
        </is>
      </c>
      <c r="B4" s="3">
        <v>20</v>
      </c>
      <c r="C4" s="3">
        <v>17</v>
      </c>
      <c r="D4" s="3">
        <v>3</v>
      </c>
      <c r="E4" s="3">
        <v>0</v>
      </c>
      <c r="F4" s="3">
        <v>85.0</v>
      </c>
      <c r="G4" s="3">
        <v>15.0</v>
      </c>
      <c r="H4" s="3">
        <v>0.0</v>
      </c>
    </row>
    <row r="5">
      <c r="A5" s="0" t="inlineStr">
        <is>
          <t>Serpentine</t>
        </is>
      </c>
      <c r="B5" s="3">
        <v>20</v>
      </c>
      <c r="C5" s="3">
        <v>13</v>
      </c>
      <c r="D5" s="3">
        <v>5</v>
      </c>
      <c r="E5" s="3">
        <v>2</v>
      </c>
      <c r="F5" s="3">
        <v>65.0</v>
      </c>
      <c r="G5" s="3">
        <v>25.0</v>
      </c>
      <c r="H5" s="3">
        <v>10.0</v>
      </c>
    </row>
    <row r="6">
      <c r="A6" s="0" t="inlineStr">
        <is>
          <t>Bottleneck</t>
        </is>
      </c>
      <c r="B6" s="3">
        <v>20</v>
      </c>
      <c r="C6" s="3">
        <v>17</v>
      </c>
      <c r="D6" s="3">
        <v>3</v>
      </c>
      <c r="E6" s="3">
        <v>0</v>
      </c>
      <c r="F6" s="3">
        <v>85.0</v>
      </c>
      <c r="G6" s="3">
        <v>15.0</v>
      </c>
      <c r="H6" s="3">
        <v>0.0</v>
      </c>
    </row>
  </sheetData>
  <autoFilter ref="A1:H6"/>
</worksheet>
</file>

<file path=xl/worksheets/sheet4.xml><?xml version="1.0" encoding="utf-8"?>
<worksheet xmlns="http://schemas.openxmlformats.org/spreadsheetml/2006/main">
  <dimension ref="A1:M7"/>
  <sheetViews>
    <sheetView workbookViewId="0">
      <pane ySplit="1" topLeftCell="A2" activePane="bottomLeft" state="frozen"/>
    </sheetView>
  </sheetViews>
  <cols>
    <col min="1" max="1" width="22" customWidth="1"/>
    <col min="2" max="2" width="13" customWidth="1"/>
    <col min="3" max="3" width="13" customWidth="1"/>
    <col min="4" max="4" width="13" customWidth="1"/>
    <col min="5" max="5" width="13" customWidth="1"/>
    <col min="6" max="6" width="19" customWidth="1"/>
    <col min="7" max="7" width="21" customWidth="1"/>
    <col min="8" max="8" width="13" customWidth="1"/>
    <col min="9" max="9" width="13" customWidth="1"/>
    <col min="10" max="10" width="20" customWidth="1"/>
    <col min="11" max="11" width="19" customWidth="1"/>
    <col min="12" max="12" width="28" customWidth="1"/>
    <col min="13" max="13" width="28" customWidth="1"/>
  </cols>
  <sheetData>
    <row r="1" ht="29" customHeight="1">
      <c r="A1" s="1" t="inlineStr">
        <is>
          <t>Topology</t>
        </is>
      </c>
      <c r="B1" s="1" t="inlineStr">
        <is>
          <t>Samples</t>
        </is>
      </c>
      <c r="C1" s="1" t="inlineStr">
        <is>
          <t>M1 faster</t>
        </is>
      </c>
      <c r="D1" s="1" t="inlineStr">
        <is>
          <t>Tie</t>
        </is>
      </c>
      <c r="E1" s="1" t="inlineStr">
        <is>
          <t>M1 slower</t>
        </is>
      </c>
      <c r="F1" s="1" t="inlineStr">
        <is>
          <t>Mean saved steps</t>
        </is>
      </c>
      <c r="G1" s="1" t="inlineStr">
        <is>
          <t>Median saved steps</t>
        </is>
      </c>
      <c r="H1" s="1" t="inlineStr">
        <is>
          <t>IQR Q1</t>
        </is>
      </c>
      <c r="I1" s="1" t="inlineStr">
        <is>
          <t>IQR Q3</t>
        </is>
      </c>
      <c r="J1" s="1" t="inlineStr">
        <is>
          <t>Worst saved steps</t>
        </is>
      </c>
      <c r="K1" s="1" t="inlineStr">
        <is>
          <t>Best saved steps</t>
        </is>
      </c>
      <c r="L1" s="1" t="inlineStr">
        <is>
          <t>Mean revisit reduction pp</t>
        </is>
      </c>
      <c r="M1" s="1" t="inlineStr">
        <is>
          <t>Mean overlap reduction pp</t>
        </is>
      </c>
    </row>
    <row r="2">
      <c r="A2" s="0" t="inlineStr">
        <is>
          <t>Open Space</t>
        </is>
      </c>
      <c r="B2" s="3">
        <v>20</v>
      </c>
      <c r="C2" s="3">
        <v>19</v>
      </c>
      <c r="D2" s="3">
        <v>0</v>
      </c>
      <c r="E2" s="3">
        <v>1</v>
      </c>
      <c r="F2" s="3">
        <v>143.3</v>
      </c>
      <c r="G2" s="3">
        <v>143.5</v>
      </c>
      <c r="H2" s="3">
        <v>85.5</v>
      </c>
      <c r="I2" s="3">
        <v>193.0</v>
      </c>
      <c r="J2" s="3">
        <v>-3.0</v>
      </c>
      <c r="K2" s="3">
        <v>281.0</v>
      </c>
      <c r="L2" s="3">
        <v>34.61</v>
      </c>
      <c r="M2" s="3">
        <v>46.69</v>
      </c>
    </row>
    <row r="3">
      <c r="A3" s="0" t="inlineStr">
        <is>
          <t>Partitioned Rooms</t>
        </is>
      </c>
      <c r="B3" s="3">
        <v>20</v>
      </c>
      <c r="C3" s="3">
        <v>18</v>
      </c>
      <c r="D3" s="3">
        <v>0</v>
      </c>
      <c r="E3" s="3">
        <v>2</v>
      </c>
      <c r="F3" s="3">
        <v>121.85</v>
      </c>
      <c r="G3" s="3">
        <v>112.0</v>
      </c>
      <c r="H3" s="3">
        <v>60.25</v>
      </c>
      <c r="I3" s="3">
        <v>183.0</v>
      </c>
      <c r="J3" s="3">
        <v>-18.0</v>
      </c>
      <c r="K3" s="3">
        <v>299.0</v>
      </c>
      <c r="L3" s="3">
        <v>35.83</v>
      </c>
      <c r="M3" s="3">
        <v>47.93</v>
      </c>
    </row>
    <row r="4">
      <c r="A4" s="0" t="inlineStr">
        <is>
          <t>Branching Corridors</t>
        </is>
      </c>
      <c r="B4" s="3">
        <v>20</v>
      </c>
      <c r="C4" s="3">
        <v>17</v>
      </c>
      <c r="D4" s="3">
        <v>0</v>
      </c>
      <c r="E4" s="3">
        <v>3</v>
      </c>
      <c r="F4" s="3">
        <v>125.85</v>
      </c>
      <c r="G4" s="3">
        <v>109.0</v>
      </c>
      <c r="H4" s="3">
        <v>2.0</v>
      </c>
      <c r="I4" s="3">
        <v>224.25</v>
      </c>
      <c r="J4" s="3">
        <v>-79.0</v>
      </c>
      <c r="K4" s="3">
        <v>332.0</v>
      </c>
      <c r="L4" s="3">
        <v>31.85</v>
      </c>
      <c r="M4" s="3">
        <v>40.22</v>
      </c>
    </row>
    <row r="5">
      <c r="A5" s="0" t="inlineStr">
        <is>
          <t>Serpentine</t>
        </is>
      </c>
      <c r="B5" s="3">
        <v>20</v>
      </c>
      <c r="C5" s="3">
        <v>13</v>
      </c>
      <c r="D5" s="3">
        <v>2</v>
      </c>
      <c r="E5" s="3">
        <v>5</v>
      </c>
      <c r="F5" s="3">
        <v>76.6</v>
      </c>
      <c r="G5" s="3">
        <v>21.5</v>
      </c>
      <c r="H5" s="3">
        <v>-18.25</v>
      </c>
      <c r="I5" s="3">
        <v>188.25</v>
      </c>
      <c r="J5" s="3">
        <v>-105.0</v>
      </c>
      <c r="K5" s="3">
        <v>370.0</v>
      </c>
      <c r="L5" s="3">
        <v>23.48</v>
      </c>
      <c r="M5" s="3">
        <v>34.91</v>
      </c>
    </row>
    <row r="6">
      <c r="A6" s="0" t="inlineStr">
        <is>
          <t>Bottleneck</t>
        </is>
      </c>
      <c r="B6" s="3">
        <v>20</v>
      </c>
      <c r="C6" s="3">
        <v>17</v>
      </c>
      <c r="D6" s="3">
        <v>0</v>
      </c>
      <c r="E6" s="3">
        <v>3</v>
      </c>
      <c r="F6" s="3">
        <v>195.15</v>
      </c>
      <c r="G6" s="3">
        <v>292.0</v>
      </c>
      <c r="H6" s="3">
        <v>108.25</v>
      </c>
      <c r="I6" s="3">
        <v>341.5</v>
      </c>
      <c r="J6" s="3">
        <v>-390.0</v>
      </c>
      <c r="K6" s="3">
        <v>398.0</v>
      </c>
      <c r="L6" s="3">
        <v>39.36</v>
      </c>
      <c r="M6" s="3">
        <v>54.57</v>
      </c>
    </row>
    <row r="7">
      <c r="A7" s="2" t="inlineStr">
        <is>
          <t>Overall</t>
        </is>
      </c>
      <c r="B7" s="2">
        <v>100</v>
      </c>
      <c r="C7" s="2">
        <v>84</v>
      </c>
      <c r="D7" s="2">
        <v>2</v>
      </c>
      <c r="E7" s="2">
        <v>14</v>
      </c>
      <c r="F7" s="2">
        <v>132.55</v>
      </c>
      <c r="G7" s="2">
        <v>123.0</v>
      </c>
      <c r="H7" s="2">
        <v>50.5</v>
      </c>
      <c r="I7" s="2">
        <v>237.0</v>
      </c>
      <c r="J7" s="2">
        <v>-390.0</v>
      </c>
      <c r="K7" s="2">
        <v>398.0</v>
      </c>
      <c r="L7" s="2">
        <v>33.03</v>
      </c>
      <c r="M7" s="2">
        <v>44.86</v>
      </c>
    </row>
  </sheetData>
  <autoFilter ref="A1:M7"/>
</worksheet>
</file>

<file path=xl/worksheets/sheet5.xml><?xml version="1.0" encoding="utf-8"?>
<worksheet xmlns="http://schemas.openxmlformats.org/spreadsheetml/2006/main">
  <dimension ref="A1:J6"/>
  <sheetViews>
    <sheetView workbookViewId="0">
      <pane ySplit="1" topLeftCell="A2" activePane="bottomLeft" state="frozen"/>
    </sheetView>
  </sheetViews>
  <cols>
    <col min="1" max="1" width="22" customWidth="1"/>
    <col min="2" max="2" width="28" customWidth="1"/>
    <col min="3" max="3" width="17" customWidth="1"/>
    <col min="4" max="4" width="18" customWidth="1"/>
    <col min="5" max="5" width="28" customWidth="1"/>
    <col min="6" max="6" width="17" customWidth="1"/>
    <col min="7" max="7" width="18" customWidth="1"/>
    <col min="8" max="8" width="19" customWidth="1"/>
    <col min="9" max="9" width="21" customWidth="1"/>
    <col min="10" max="10" width="22" customWidth="1"/>
  </cols>
  <sheetData>
    <row r="1" ht="29" customHeight="1">
      <c r="A1" s="1" t="inlineStr">
        <is>
          <t>Topology</t>
        </is>
      </c>
      <c r="B1" s="1" t="inlineStr">
        <is>
          <t>Revisit reduction mean pp</t>
        </is>
      </c>
      <c r="C1" s="1" t="inlineStr">
        <is>
          <t>Revisit CI low</t>
        </is>
      </c>
      <c r="D1" s="1" t="inlineStr">
        <is>
          <t>Revisit CI high</t>
        </is>
      </c>
      <c r="E1" s="1" t="inlineStr">
        <is>
          <t>Overlap reduction mean pp</t>
        </is>
      </c>
      <c r="F1" s="1" t="inlineStr">
        <is>
          <t>Overlap CI low</t>
        </is>
      </c>
      <c r="G1" s="1" t="inlineStr">
        <is>
          <t>Overlap CI high</t>
        </is>
      </c>
      <c r="H1" s="1" t="inlineStr">
        <is>
          <t>Saved steps mean</t>
        </is>
      </c>
      <c r="I1" s="1" t="inlineStr">
        <is>
          <t>Saved steps CI low</t>
        </is>
      </c>
      <c r="J1" s="1" t="inlineStr">
        <is>
          <t>Saved steps CI high</t>
        </is>
      </c>
    </row>
    <row r="2">
      <c r="A2" s="0" t="inlineStr">
        <is>
          <t>Open Space</t>
        </is>
      </c>
      <c r="B2" s="3">
        <v>34.61</v>
      </c>
      <c r="C2" s="3">
        <v>31.44</v>
      </c>
      <c r="D2" s="3">
        <v>37.56</v>
      </c>
      <c r="E2" s="3">
        <v>46.69</v>
      </c>
      <c r="F2" s="3">
        <v>42.46</v>
      </c>
      <c r="G2" s="3">
        <v>50.27</v>
      </c>
      <c r="H2" s="3">
        <v>143.3</v>
      </c>
      <c r="I2" s="3">
        <v>121.85</v>
      </c>
      <c r="J2" s="3">
        <v>161.35</v>
      </c>
    </row>
    <row r="3">
      <c r="A3" s="0" t="inlineStr">
        <is>
          <t>Partitioned Rooms</t>
        </is>
      </c>
      <c r="B3" s="3">
        <v>35.83</v>
      </c>
      <c r="C3" s="3">
        <v>32.1</v>
      </c>
      <c r="D3" s="3">
        <v>39.53</v>
      </c>
      <c r="E3" s="3">
        <v>47.93</v>
      </c>
      <c r="F3" s="3">
        <v>40.57</v>
      </c>
      <c r="G3" s="3">
        <v>54.22</v>
      </c>
      <c r="H3" s="3">
        <v>121.85</v>
      </c>
      <c r="I3" s="3">
        <v>82.15</v>
      </c>
      <c r="J3" s="3">
        <v>165.4</v>
      </c>
    </row>
    <row r="4">
      <c r="A4" s="0" t="inlineStr">
        <is>
          <t>Branching Corridors</t>
        </is>
      </c>
      <c r="B4" s="3">
        <v>31.85</v>
      </c>
      <c r="C4" s="3">
        <v>26.13</v>
      </c>
      <c r="D4" s="3">
        <v>36.71</v>
      </c>
      <c r="E4" s="3">
        <v>40.22</v>
      </c>
      <c r="F4" s="3">
        <v>34.91</v>
      </c>
      <c r="G4" s="3">
        <v>45.06</v>
      </c>
      <c r="H4" s="3">
        <v>125.85</v>
      </c>
      <c r="I4" s="3">
        <v>89.15</v>
      </c>
      <c r="J4" s="3">
        <v>158.96</v>
      </c>
    </row>
    <row r="5">
      <c r="A5" s="0" t="inlineStr">
        <is>
          <t>Serpentine</t>
        </is>
      </c>
      <c r="B5" s="3">
        <v>23.48</v>
      </c>
      <c r="C5" s="3">
        <v>17.57</v>
      </c>
      <c r="D5" s="3">
        <v>30.63</v>
      </c>
      <c r="E5" s="3">
        <v>34.91</v>
      </c>
      <c r="F5" s="3">
        <v>26.81</v>
      </c>
      <c r="G5" s="3">
        <v>43.45</v>
      </c>
      <c r="H5" s="3">
        <v>76.6</v>
      </c>
      <c r="I5" s="3">
        <v>7.4</v>
      </c>
      <c r="J5" s="3">
        <v>151.05</v>
      </c>
    </row>
    <row r="6">
      <c r="A6" s="0" t="inlineStr">
        <is>
          <t>Bottleneck</t>
        </is>
      </c>
      <c r="B6" s="3">
        <v>39.36</v>
      </c>
      <c r="C6" s="3">
        <v>33.87</v>
      </c>
      <c r="D6" s="3">
        <v>43.99</v>
      </c>
      <c r="E6" s="3">
        <v>54.57</v>
      </c>
      <c r="F6" s="3">
        <v>48.97</v>
      </c>
      <c r="G6" s="3">
        <v>59.91</v>
      </c>
      <c r="H6" s="3">
        <v>195.15</v>
      </c>
      <c r="I6" s="3">
        <v>127.59</v>
      </c>
      <c r="J6" s="3">
        <v>250.65</v>
      </c>
    </row>
  </sheetData>
  <autoFilter ref="A1:J6"/>
</worksheet>
</file>

<file path=xl/worksheets/sheet6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20" customWidth="1"/>
    <col min="4" max="4" width="16" customWidth="1"/>
    <col min="5" max="5" width="13" customWidth="1"/>
  </cols>
  <sheetData>
    <row r="1" ht="29" customHeight="1">
      <c r="A1" s="1" t="inlineStr">
        <is>
          <t>Steps outcome</t>
        </is>
      </c>
      <c r="B1" s="1" t="inlineStr">
        <is>
          <t>Overlap reduced</t>
        </is>
      </c>
      <c r="C1" s="1" t="inlineStr">
        <is>
          <t>Overlap increased</t>
        </is>
      </c>
      <c r="D1" s="1" t="inlineStr">
        <is>
          <t>Overlap equal</t>
        </is>
      </c>
      <c r="E1" s="1" t="inlineStr">
        <is>
          <t>Total</t>
        </is>
      </c>
    </row>
    <row r="2">
      <c r="A2" s="0" t="inlineStr">
        <is>
          <t>M1 faster</t>
        </is>
      </c>
      <c r="B2" s="3">
        <v>84</v>
      </c>
      <c r="C2" s="3">
        <v>0</v>
      </c>
      <c r="D2" s="3">
        <v>0</v>
      </c>
      <c r="E2" s="3">
        <v>84</v>
      </c>
    </row>
    <row r="3">
      <c r="A3" s="0" t="inlineStr">
        <is>
          <t>Tie</t>
        </is>
      </c>
      <c r="B3" s="3">
        <v>2</v>
      </c>
      <c r="C3" s="3">
        <v>0</v>
      </c>
      <c r="D3" s="3">
        <v>0</v>
      </c>
      <c r="E3" s="3">
        <v>2</v>
      </c>
    </row>
    <row r="4">
      <c r="A4" s="0" t="inlineStr">
        <is>
          <t>M0 faster</t>
        </is>
      </c>
      <c r="B4" s="3">
        <v>8</v>
      </c>
      <c r="C4" s="3">
        <v>6</v>
      </c>
      <c r="D4" s="3">
        <v>0</v>
      </c>
      <c r="E4" s="3">
        <v>14</v>
      </c>
    </row>
    <row r="5">
      <c r="A5" s="2" t="inlineStr">
        <is>
          <t>TOTAL</t>
        </is>
      </c>
      <c r="B5" s="2">
        <v>94</v>
      </c>
      <c r="C5" s="2">
        <v>6</v>
      </c>
      <c r="D5" s="2">
        <v>0</v>
      </c>
      <c r="E5" s="2">
        <v>100</v>
      </c>
    </row>
  </sheetData>
  <autoFilter ref="A1:E5"/>
</worksheet>
</file>

<file path=xl/worksheets/sheet7.xml><?xml version="1.0" encoding="utf-8"?>
<worksheet xmlns="http://schemas.openxmlformats.org/spreadsheetml/2006/main">
  <dimension ref="A1:H15"/>
  <sheetViews>
    <sheetView workbookViewId="0">
      <pane ySplit="1" topLeftCell="A2" activePane="bottomLeft" state="frozen"/>
    </sheetView>
  </sheetViews>
  <cols>
    <col min="1" max="1" width="26" customWidth="1"/>
    <col min="2" max="2" width="13" customWidth="1"/>
    <col min="3" max="3" width="16" customWidth="1"/>
    <col min="4" max="4" width="13" customWidth="1"/>
    <col min="5" max="5" width="13" customWidth="1"/>
    <col min="6" max="6" width="20" customWidth="1"/>
    <col min="7" max="7" width="23" customWidth="1"/>
    <col min="8" max="8" width="23" customWidth="1"/>
  </cols>
  <sheetData>
    <row r="1" ht="29" customHeight="1">
      <c r="A1" s="1" t="inlineStr">
        <is>
          <t>Environment</t>
        </is>
      </c>
      <c r="B1" s="1" t="inlineStr">
        <is>
          <t>Sample ID</t>
        </is>
      </c>
      <c r="C1" s="1" t="inlineStr">
        <is>
          <t>Must Explored</t>
        </is>
      </c>
      <c r="D1" s="1" t="inlineStr">
        <is>
          <t>M0 Steps</t>
        </is>
      </c>
      <c r="E1" s="1" t="inlineStr">
        <is>
          <t>M1 Steps</t>
        </is>
      </c>
      <c r="F1" s="1" t="inlineStr">
        <is>
          <t>Saved steps M0-M1</t>
        </is>
      </c>
      <c r="G1" s="1" t="inlineStr">
        <is>
          <t>Revisit reduction pp</t>
        </is>
      </c>
      <c r="H1" s="1" t="inlineStr">
        <is>
          <t>Overlap reduction pp</t>
        </is>
      </c>
    </row>
    <row r="2">
      <c r="A2" s="0" t="inlineStr">
        <is>
          <t>S05_Bottleneck</t>
        </is>
      </c>
      <c r="B2" s="0" t="inlineStr">
        <is>
          <t>S05_G10_D</t>
        </is>
      </c>
      <c r="C2" s="3">
        <v>3800</v>
      </c>
      <c r="D2" s="3">
        <v>306</v>
      </c>
      <c r="E2" s="3">
        <v>696</v>
      </c>
      <c r="F2" s="3">
        <v>-390</v>
      </c>
      <c r="G2" s="3">
        <v>-10.67</v>
      </c>
      <c r="H2" s="3">
        <v>-4.25</v>
      </c>
    </row>
    <row r="3">
      <c r="A3" s="0" t="inlineStr">
        <is>
          <t>S04_Serpentine</t>
        </is>
      </c>
      <c r="B3" s="0" t="inlineStr">
        <is>
          <t>S04_G04_D</t>
        </is>
      </c>
      <c r="C3" s="3">
        <v>1720</v>
      </c>
      <c r="D3" s="3">
        <v>296</v>
      </c>
      <c r="E3" s="3">
        <v>401</v>
      </c>
      <c r="F3" s="3">
        <v>-105</v>
      </c>
      <c r="G3" s="3">
        <v>-0.88</v>
      </c>
      <c r="H3" s="3">
        <v>-3.89</v>
      </c>
    </row>
    <row r="4">
      <c r="A4" s="0" t="inlineStr">
        <is>
          <t>S04_Serpentine</t>
        </is>
      </c>
      <c r="B4" s="0" t="inlineStr">
        <is>
          <t>S04_G10_D</t>
        </is>
      </c>
      <c r="C4" s="3">
        <v>1720</v>
      </c>
      <c r="D4" s="3">
        <v>296</v>
      </c>
      <c r="E4" s="3">
        <v>399</v>
      </c>
      <c r="F4" s="3">
        <v>-103</v>
      </c>
      <c r="G4" s="3">
        <v>-0.89</v>
      </c>
      <c r="H4" s="3">
        <v>-3.92</v>
      </c>
    </row>
    <row r="5">
      <c r="A5" s="0" t="inlineStr">
        <is>
          <t>S04_Serpentine</t>
        </is>
      </c>
      <c r="B5" s="0" t="inlineStr">
        <is>
          <t>S04_G02_D</t>
        </is>
      </c>
      <c r="C5" s="3">
        <v>1690</v>
      </c>
      <c r="D5" s="3">
        <v>291</v>
      </c>
      <c r="E5" s="3">
        <v>392</v>
      </c>
      <c r="F5" s="3">
        <v>-101</v>
      </c>
      <c r="G5" s="3">
        <v>-0.93</v>
      </c>
      <c r="H5" s="3">
        <v>-3.95</v>
      </c>
    </row>
    <row r="6">
      <c r="A6" s="0" t="inlineStr">
        <is>
          <t>S04_Serpentine</t>
        </is>
      </c>
      <c r="B6" s="0" t="inlineStr">
        <is>
          <t>S04_G08_D</t>
        </is>
      </c>
      <c r="C6" s="3">
        <v>1660</v>
      </c>
      <c r="D6" s="3">
        <v>286</v>
      </c>
      <c r="E6" s="3">
        <v>387</v>
      </c>
      <c r="F6" s="3">
        <v>-101</v>
      </c>
      <c r="G6" s="3">
        <v>-0.81</v>
      </c>
      <c r="H6" s="3">
        <v>-3.8</v>
      </c>
    </row>
    <row r="7">
      <c r="A7" s="0" t="inlineStr">
        <is>
          <t>S05_Bottleneck</t>
        </is>
      </c>
      <c r="B7" s="0" t="inlineStr">
        <is>
          <t>S05_G07_D</t>
        </is>
      </c>
      <c r="C7" s="3">
        <v>3834</v>
      </c>
      <c r="D7" s="3">
        <v>324</v>
      </c>
      <c r="E7" s="3">
        <v>409</v>
      </c>
      <c r="F7" s="3">
        <v>-85</v>
      </c>
      <c r="G7" s="3">
        <v>8.3</v>
      </c>
      <c r="H7" s="3">
        <v>7.53</v>
      </c>
    </row>
    <row r="8">
      <c r="A8" s="0" t="inlineStr">
        <is>
          <t>S03_Branching_Corridors</t>
        </is>
      </c>
      <c r="B8" s="0" t="inlineStr">
        <is>
          <t>S03_G07_D</t>
        </is>
      </c>
      <c r="C8" s="3">
        <v>1570</v>
      </c>
      <c r="D8" s="3">
        <v>266</v>
      </c>
      <c r="E8" s="3">
        <v>345</v>
      </c>
      <c r="F8" s="3">
        <v>-79</v>
      </c>
      <c r="G8" s="3">
        <v>-2.22</v>
      </c>
      <c r="H8" s="3">
        <v>-4.56</v>
      </c>
    </row>
    <row r="9">
      <c r="A9" s="0" t="inlineStr">
        <is>
          <t>S04_Serpentine</t>
        </is>
      </c>
      <c r="B9" s="0" t="inlineStr">
        <is>
          <t>S04_G01_D</t>
        </is>
      </c>
      <c r="C9" s="3">
        <v>1440</v>
      </c>
      <c r="D9" s="3">
        <v>122</v>
      </c>
      <c r="E9" s="3">
        <v>195</v>
      </c>
      <c r="F9" s="3">
        <v>-73</v>
      </c>
      <c r="G9" s="3">
        <v>8.71</v>
      </c>
      <c r="H9" s="3">
        <v>7.86</v>
      </c>
    </row>
    <row r="10">
      <c r="A10" s="0" t="inlineStr">
        <is>
          <t>S05_Bottleneck</t>
        </is>
      </c>
      <c r="B10" s="0" t="inlineStr">
        <is>
          <t>S05_G01_D</t>
        </is>
      </c>
      <c r="C10" s="3">
        <v>3834</v>
      </c>
      <c r="D10" s="3">
        <v>349</v>
      </c>
      <c r="E10" s="3">
        <v>395</v>
      </c>
      <c r="F10" s="3">
        <v>-46</v>
      </c>
      <c r="G10" s="3">
        <v>17.39</v>
      </c>
      <c r="H10" s="3">
        <v>17.87</v>
      </c>
    </row>
    <row r="11">
      <c r="A11" s="0" t="inlineStr">
        <is>
          <t>S02_Partitioned_Rooms</t>
        </is>
      </c>
      <c r="B11" s="0" t="inlineStr">
        <is>
          <t>S02_G07_D</t>
        </is>
      </c>
      <c r="C11" s="3">
        <v>3960</v>
      </c>
      <c r="D11" s="3">
        <v>586</v>
      </c>
      <c r="E11" s="3">
        <v>604</v>
      </c>
      <c r="F11" s="3">
        <v>-18</v>
      </c>
      <c r="G11" s="3">
        <v>29.08</v>
      </c>
      <c r="H11" s="3">
        <v>36.11</v>
      </c>
    </row>
    <row r="12">
      <c r="A12" s="0" t="inlineStr">
        <is>
          <t>S03_Branching_Corridors</t>
        </is>
      </c>
      <c r="B12" s="0" t="inlineStr">
        <is>
          <t>S03_G09_D</t>
        </is>
      </c>
      <c r="C12" s="3">
        <v>1500</v>
      </c>
      <c r="D12" s="3">
        <v>292</v>
      </c>
      <c r="E12" s="3">
        <v>309</v>
      </c>
      <c r="F12" s="3">
        <v>-17</v>
      </c>
      <c r="G12" s="3">
        <v>13.01</v>
      </c>
      <c r="H12" s="3">
        <v>18.18</v>
      </c>
    </row>
    <row r="13">
      <c r="A13" s="0" t="inlineStr">
        <is>
          <t>S02_Partitioned_Rooms</t>
        </is>
      </c>
      <c r="B13" s="0" t="inlineStr">
        <is>
          <t>S02_G04_D</t>
        </is>
      </c>
      <c r="C13" s="3">
        <v>3912</v>
      </c>
      <c r="D13" s="3">
        <v>518</v>
      </c>
      <c r="E13" s="3">
        <v>532</v>
      </c>
      <c r="F13" s="3">
        <v>-14</v>
      </c>
      <c r="G13" s="3">
        <v>17.17</v>
      </c>
      <c r="H13" s="3">
        <v>20.98</v>
      </c>
    </row>
    <row r="14">
      <c r="A14" s="0" t="inlineStr">
        <is>
          <t>S01_Open_Space</t>
        </is>
      </c>
      <c r="B14" s="0" t="inlineStr">
        <is>
          <t>S01_G08_D</t>
        </is>
      </c>
      <c r="C14" s="3">
        <v>4020</v>
      </c>
      <c r="D14" s="3">
        <v>627</v>
      </c>
      <c r="E14" s="3">
        <v>630</v>
      </c>
      <c r="F14" s="3">
        <v>-3</v>
      </c>
      <c r="G14" s="3">
        <v>12.31</v>
      </c>
      <c r="H14" s="3">
        <v>14.05</v>
      </c>
    </row>
    <row r="15">
      <c r="A15" s="0" t="inlineStr">
        <is>
          <t>S03_Branching_Corridors</t>
        </is>
      </c>
      <c r="B15" s="0" t="inlineStr">
        <is>
          <t>S03_G03_D</t>
        </is>
      </c>
      <c r="C15" s="3">
        <v>1535</v>
      </c>
      <c r="D15" s="3">
        <v>115</v>
      </c>
      <c r="E15" s="3">
        <v>116</v>
      </c>
      <c r="F15" s="3">
        <v>-1</v>
      </c>
      <c r="G15" s="3">
        <v>15.32</v>
      </c>
      <c r="H15" s="3">
        <v>16.17</v>
      </c>
    </row>
  </sheetData>
  <autoFilter ref="A1:H15"/>
</worksheet>
</file>

<file path=xl/worksheets/sheet8.xml><?xml version="1.0" encoding="utf-8"?>
<worksheet xmlns="http://schemas.openxmlformats.org/spreadsheetml/2006/main">
  <dimension ref="A1:L101"/>
  <sheetViews>
    <sheetView workbookViewId="0">
      <pane ySplit="1" topLeftCell="A2" activePane="bottomLeft" state="frozen"/>
    </sheetView>
  </sheetViews>
  <cols>
    <col min="1" max="1" width="26" customWidth="1"/>
    <col min="2" max="2" width="13" customWidth="1"/>
    <col min="3" max="3" width="14" customWidth="1"/>
    <col min="4" max="4" width="14" customWidth="1"/>
    <col min="5" max="5" width="13" customWidth="1"/>
    <col min="6" max="6" width="16" customWidth="1"/>
    <col min="7" max="7" width="25" customWidth="1"/>
    <col min="8" max="8" width="25" customWidth="1"/>
    <col min="9" max="9" width="25" customWidth="1"/>
    <col min="10" max="10" width="13" customWidth="1"/>
    <col min="11" max="11" width="13" customWidth="1"/>
    <col min="12" max="12" width="13" customWidth="1"/>
  </cols>
  <sheetData>
    <row r="1" ht="29" customHeight="1">
      <c r="A1" s="1" t="inlineStr">
        <is>
          <t>Environment</t>
        </is>
      </c>
      <c r="B1" s="1" t="inlineStr">
        <is>
          <t>Sample ID</t>
        </is>
      </c>
      <c r="C1" s="1" t="inlineStr">
        <is>
          <t>Topology ID</t>
        </is>
      </c>
      <c r="D1" s="1" t="inlineStr">
        <is>
          <t>Geometry ID</t>
        </is>
      </c>
      <c r="E1" s="1" t="inlineStr">
        <is>
          <t>Start</t>
        </is>
      </c>
      <c r="F1" s="1" t="inlineStr">
        <is>
          <t>Must Explored</t>
        </is>
      </c>
      <c r="G1" s="1" t="inlineStr">
        <is>
          <t>Saved Revisit Ratio pp</t>
        </is>
      </c>
      <c r="H1" s="1" t="inlineStr">
        <is>
          <t>Saved Overlap Ratio pp</t>
        </is>
      </c>
      <c r="I1" s="1" t="inlineStr">
        <is>
          <t>Saved Completion Steps</t>
        </is>
      </c>
      <c r="J1" s="1" t="inlineStr">
        <is>
          <t>M0 Steps</t>
        </is>
      </c>
      <c r="K1" s="1" t="inlineStr">
        <is>
          <t>M1 Steps</t>
        </is>
      </c>
      <c r="L1" s="1" t="inlineStr">
        <is>
          <t>Outcome</t>
        </is>
      </c>
    </row>
    <row r="2">
      <c r="A2" s="0" t="inlineStr">
        <is>
          <t>S01_Open_Space</t>
        </is>
      </c>
      <c r="B2" s="0" t="inlineStr">
        <is>
          <t>S01_G01_C</t>
        </is>
      </c>
      <c r="C2" s="0" t="inlineStr">
        <is>
          <t>S01</t>
        </is>
      </c>
      <c r="D2" s="0" t="inlineStr">
        <is>
          <t>S01_G01</t>
        </is>
      </c>
      <c r="E2" s="0" t="inlineStr">
        <is>
          <t>C</t>
        </is>
      </c>
      <c r="F2" s="3">
        <v>4011</v>
      </c>
      <c r="G2" s="3">
        <v>62.6</v>
      </c>
      <c r="H2" s="3">
        <v>89.45</v>
      </c>
      <c r="I2" s="3">
        <v>241.0</v>
      </c>
      <c r="J2" s="3">
        <v>699.0</v>
      </c>
      <c r="K2" s="3">
        <v>458.0</v>
      </c>
      <c r="L2" s="0" t="inlineStr">
        <is>
          <t>M1 faster</t>
        </is>
      </c>
    </row>
    <row r="3">
      <c r="A3" s="0" t="inlineStr">
        <is>
          <t>S01_Open_Space</t>
        </is>
      </c>
      <c r="B3" s="0" t="inlineStr">
        <is>
          <t>S01_G01_D</t>
        </is>
      </c>
      <c r="C3" s="0" t="inlineStr">
        <is>
          <t>S01</t>
        </is>
      </c>
      <c r="D3" s="0" t="inlineStr">
        <is>
          <t>S01_G01</t>
        </is>
      </c>
      <c r="E3" s="0" t="inlineStr">
        <is>
          <t>D</t>
        </is>
      </c>
      <c r="F3" s="3">
        <v>4011</v>
      </c>
      <c r="G3" s="3">
        <v>12.96</v>
      </c>
      <c r="H3" s="3">
        <v>15.84</v>
      </c>
      <c r="I3" s="3">
        <v>90.0</v>
      </c>
      <c r="J3" s="3">
        <v>649.0</v>
      </c>
      <c r="K3" s="3">
        <v>559.0</v>
      </c>
      <c r="L3" s="0" t="inlineStr">
        <is>
          <t>M1 faster</t>
        </is>
      </c>
    </row>
    <row r="4">
      <c r="A4" s="0" t="inlineStr">
        <is>
          <t>S01_Open_Space</t>
        </is>
      </c>
      <c r="B4" s="0" t="inlineStr">
        <is>
          <t>S01_G02_C</t>
        </is>
      </c>
      <c r="C4" s="0" t="inlineStr">
        <is>
          <t>S01</t>
        </is>
      </c>
      <c r="D4" s="0" t="inlineStr">
        <is>
          <t>S01_G02</t>
        </is>
      </c>
      <c r="E4" s="0" t="inlineStr">
        <is>
          <t>C</t>
        </is>
      </c>
      <c r="F4" s="3">
        <v>3985</v>
      </c>
      <c r="G4" s="3">
        <v>51.52</v>
      </c>
      <c r="H4" s="3">
        <v>61.16</v>
      </c>
      <c r="I4" s="3">
        <v>237.0</v>
      </c>
      <c r="J4" s="3">
        <v>663.0</v>
      </c>
      <c r="K4" s="3">
        <v>426.0</v>
      </c>
      <c r="L4" s="0" t="inlineStr">
        <is>
          <t>M1 faster</t>
        </is>
      </c>
    </row>
    <row r="5">
      <c r="A5" s="0" t="inlineStr">
        <is>
          <t>S01_Open_Space</t>
        </is>
      </c>
      <c r="B5" s="0" t="inlineStr">
        <is>
          <t>S01_G02_D</t>
        </is>
      </c>
      <c r="C5" s="0" t="inlineStr">
        <is>
          <t>S01</t>
        </is>
      </c>
      <c r="D5" s="0" t="inlineStr">
        <is>
          <t>S01_G02</t>
        </is>
      </c>
      <c r="E5" s="0" t="inlineStr">
        <is>
          <t>D</t>
        </is>
      </c>
      <c r="F5" s="3">
        <v>3985</v>
      </c>
      <c r="G5" s="3">
        <v>30.14</v>
      </c>
      <c r="H5" s="3">
        <v>37.15</v>
      </c>
      <c r="I5" s="3">
        <v>115.0</v>
      </c>
      <c r="J5" s="3">
        <v>642.0</v>
      </c>
      <c r="K5" s="3">
        <v>527.0</v>
      </c>
      <c r="L5" s="0" t="inlineStr">
        <is>
          <t>M1 faster</t>
        </is>
      </c>
    </row>
    <row r="6">
      <c r="A6" s="0" t="inlineStr">
        <is>
          <t>S01_Open_Space</t>
        </is>
      </c>
      <c r="B6" s="0" t="inlineStr">
        <is>
          <t>S01_G03_C</t>
        </is>
      </c>
      <c r="C6" s="0" t="inlineStr">
        <is>
          <t>S01</t>
        </is>
      </c>
      <c r="D6" s="0" t="inlineStr">
        <is>
          <t>S01_G03</t>
        </is>
      </c>
      <c r="E6" s="0" t="inlineStr">
        <is>
          <t>C</t>
        </is>
      </c>
      <c r="F6" s="3">
        <v>3992</v>
      </c>
      <c r="G6" s="3">
        <v>64.23</v>
      </c>
      <c r="H6" s="3">
        <v>79.7</v>
      </c>
      <c r="I6" s="3">
        <v>281.0</v>
      </c>
      <c r="J6" s="3">
        <v>655.0</v>
      </c>
      <c r="K6" s="3">
        <v>374.0</v>
      </c>
      <c r="L6" s="0" t="inlineStr">
        <is>
          <t>M1 faster</t>
        </is>
      </c>
    </row>
    <row r="7">
      <c r="A7" s="0" t="inlineStr">
        <is>
          <t>S01_Open_Space</t>
        </is>
      </c>
      <c r="B7" s="0" t="inlineStr">
        <is>
          <t>S01_G03_D</t>
        </is>
      </c>
      <c r="C7" s="0" t="inlineStr">
        <is>
          <t>S01</t>
        </is>
      </c>
      <c r="D7" s="0" t="inlineStr">
        <is>
          <t>S01_G03</t>
        </is>
      </c>
      <c r="E7" s="0" t="inlineStr">
        <is>
          <t>D</t>
        </is>
      </c>
      <c r="F7" s="3">
        <v>3992</v>
      </c>
      <c r="G7" s="3">
        <v>11.58</v>
      </c>
      <c r="H7" s="3">
        <v>13.51</v>
      </c>
      <c r="I7" s="3">
        <v>61.0</v>
      </c>
      <c r="J7" s="3">
        <v>616.0</v>
      </c>
      <c r="K7" s="3">
        <v>555.0</v>
      </c>
      <c r="L7" s="0" t="inlineStr">
        <is>
          <t>M1 faster</t>
        </is>
      </c>
    </row>
    <row r="8">
      <c r="A8" s="0" t="inlineStr">
        <is>
          <t>S01_Open_Space</t>
        </is>
      </c>
      <c r="B8" s="0" t="inlineStr">
        <is>
          <t>S01_G04_C</t>
        </is>
      </c>
      <c r="C8" s="0" t="inlineStr">
        <is>
          <t>S01</t>
        </is>
      </c>
      <c r="D8" s="0" t="inlineStr">
        <is>
          <t>S01_G04</t>
        </is>
      </c>
      <c r="E8" s="0" t="inlineStr">
        <is>
          <t>C</t>
        </is>
      </c>
      <c r="F8" s="3">
        <v>4040</v>
      </c>
      <c r="G8" s="3">
        <v>35.53</v>
      </c>
      <c r="H8" s="3">
        <v>43.03</v>
      </c>
      <c r="I8" s="3">
        <v>81.0</v>
      </c>
      <c r="J8" s="3">
        <v>633.0</v>
      </c>
      <c r="K8" s="3">
        <v>552.0</v>
      </c>
      <c r="L8" s="0" t="inlineStr">
        <is>
          <t>M1 faster</t>
        </is>
      </c>
    </row>
    <row r="9">
      <c r="A9" s="0" t="inlineStr">
        <is>
          <t>S01_Open_Space</t>
        </is>
      </c>
      <c r="B9" s="0" t="inlineStr">
        <is>
          <t>S01_G04_D</t>
        </is>
      </c>
      <c r="C9" s="0" t="inlineStr">
        <is>
          <t>S01</t>
        </is>
      </c>
      <c r="D9" s="0" t="inlineStr">
        <is>
          <t>S01_G04</t>
        </is>
      </c>
      <c r="E9" s="0" t="inlineStr">
        <is>
          <t>D</t>
        </is>
      </c>
      <c r="F9" s="3">
        <v>4040</v>
      </c>
      <c r="G9" s="3">
        <v>17.79</v>
      </c>
      <c r="H9" s="3">
        <v>21.92</v>
      </c>
      <c r="I9" s="3">
        <v>57.0</v>
      </c>
      <c r="J9" s="3">
        <v>630.0</v>
      </c>
      <c r="K9" s="3">
        <v>573.0</v>
      </c>
      <c r="L9" s="0" t="inlineStr">
        <is>
          <t>M1 faster</t>
        </is>
      </c>
    </row>
    <row r="10">
      <c r="A10" s="0" t="inlineStr">
        <is>
          <t>S01_Open_Space</t>
        </is>
      </c>
      <c r="B10" s="0" t="inlineStr">
        <is>
          <t>S01_G05_C</t>
        </is>
      </c>
      <c r="C10" s="0" t="inlineStr">
        <is>
          <t>S01</t>
        </is>
      </c>
      <c r="D10" s="0" t="inlineStr">
        <is>
          <t>S01_G05</t>
        </is>
      </c>
      <c r="E10" s="0" t="inlineStr">
        <is>
          <t>C</t>
        </is>
      </c>
      <c r="F10" s="3">
        <v>3975</v>
      </c>
      <c r="G10" s="3">
        <v>57.61</v>
      </c>
      <c r="H10" s="3">
        <v>79.17</v>
      </c>
      <c r="I10" s="3">
        <v>169.0</v>
      </c>
      <c r="J10" s="3">
        <v>695.0</v>
      </c>
      <c r="K10" s="3">
        <v>526.0</v>
      </c>
      <c r="L10" s="0" t="inlineStr">
        <is>
          <t>M1 faster</t>
        </is>
      </c>
    </row>
    <row r="11">
      <c r="A11" s="0" t="inlineStr">
        <is>
          <t>S01_Open_Space</t>
        </is>
      </c>
      <c r="B11" s="0" t="inlineStr">
        <is>
          <t>S01_G05_D</t>
        </is>
      </c>
      <c r="C11" s="0" t="inlineStr">
        <is>
          <t>S01</t>
        </is>
      </c>
      <c r="D11" s="0" t="inlineStr">
        <is>
          <t>S01_G05</t>
        </is>
      </c>
      <c r="E11" s="0" t="inlineStr">
        <is>
          <t>D</t>
        </is>
      </c>
      <c r="F11" s="3">
        <v>3975</v>
      </c>
      <c r="G11" s="3">
        <v>14.72</v>
      </c>
      <c r="H11" s="3">
        <v>17.96</v>
      </c>
      <c r="I11" s="3">
        <v>140.0</v>
      </c>
      <c r="J11" s="3">
        <v>609.0</v>
      </c>
      <c r="K11" s="3">
        <v>469.0</v>
      </c>
      <c r="L11" s="0" t="inlineStr">
        <is>
          <t>M1 faster</t>
        </is>
      </c>
    </row>
    <row r="12">
      <c r="A12" s="0" t="inlineStr">
        <is>
          <t>S01_Open_Space</t>
        </is>
      </c>
      <c r="B12" s="0" t="inlineStr">
        <is>
          <t>S01_G06_C</t>
        </is>
      </c>
      <c r="C12" s="0" t="inlineStr">
        <is>
          <t>S01</t>
        </is>
      </c>
      <c r="D12" s="0" t="inlineStr">
        <is>
          <t>S01_G06</t>
        </is>
      </c>
      <c r="E12" s="0" t="inlineStr">
        <is>
          <t>C</t>
        </is>
      </c>
      <c r="F12" s="3">
        <v>3985</v>
      </c>
      <c r="G12" s="3">
        <v>51.79</v>
      </c>
      <c r="H12" s="3">
        <v>77.68</v>
      </c>
      <c r="I12" s="3">
        <v>133.0</v>
      </c>
      <c r="J12" s="3">
        <v>651.0</v>
      </c>
      <c r="K12" s="3">
        <v>518.0</v>
      </c>
      <c r="L12" s="0" t="inlineStr">
        <is>
          <t>M1 faster</t>
        </is>
      </c>
    </row>
    <row r="13">
      <c r="A13" s="0" t="inlineStr">
        <is>
          <t>S01_Open_Space</t>
        </is>
      </c>
      <c r="B13" s="0" t="inlineStr">
        <is>
          <t>S01_G06_D</t>
        </is>
      </c>
      <c r="C13" s="0" t="inlineStr">
        <is>
          <t>S01</t>
        </is>
      </c>
      <c r="D13" s="0" t="inlineStr">
        <is>
          <t>S01_G06</t>
        </is>
      </c>
      <c r="E13" s="0" t="inlineStr">
        <is>
          <t>D</t>
        </is>
      </c>
      <c r="F13" s="3">
        <v>3985</v>
      </c>
      <c r="G13" s="3">
        <v>22.28</v>
      </c>
      <c r="H13" s="3">
        <v>23.63</v>
      </c>
      <c r="I13" s="3">
        <v>151.0</v>
      </c>
      <c r="J13" s="3">
        <v>601.0</v>
      </c>
      <c r="K13" s="3">
        <v>450.0</v>
      </c>
      <c r="L13" s="0" t="inlineStr">
        <is>
          <t>M1 faster</t>
        </is>
      </c>
    </row>
    <row r="14">
      <c r="A14" s="0" t="inlineStr">
        <is>
          <t>S01_Open_Space</t>
        </is>
      </c>
      <c r="B14" s="0" t="inlineStr">
        <is>
          <t>S01_G07_C</t>
        </is>
      </c>
      <c r="C14" s="0" t="inlineStr">
        <is>
          <t>S01</t>
        </is>
      </c>
      <c r="D14" s="0" t="inlineStr">
        <is>
          <t>S01_G07</t>
        </is>
      </c>
      <c r="E14" s="0" t="inlineStr">
        <is>
          <t>C</t>
        </is>
      </c>
      <c r="F14" s="3">
        <v>3967</v>
      </c>
      <c r="G14" s="3">
        <v>56.21</v>
      </c>
      <c r="H14" s="3">
        <v>81.62</v>
      </c>
      <c r="I14" s="3">
        <v>87.0</v>
      </c>
      <c r="J14" s="3">
        <v>641.0</v>
      </c>
      <c r="K14" s="3">
        <v>554.0</v>
      </c>
      <c r="L14" s="0" t="inlineStr">
        <is>
          <t>M1 faster</t>
        </is>
      </c>
    </row>
    <row r="15">
      <c r="A15" s="0" t="inlineStr">
        <is>
          <t>S01_Open_Space</t>
        </is>
      </c>
      <c r="B15" s="0" t="inlineStr">
        <is>
          <t>S01_G07_D</t>
        </is>
      </c>
      <c r="C15" s="0" t="inlineStr">
        <is>
          <t>S01</t>
        </is>
      </c>
      <c r="D15" s="0" t="inlineStr">
        <is>
          <t>S01_G07</t>
        </is>
      </c>
      <c r="E15" s="0" t="inlineStr">
        <is>
          <t>D</t>
        </is>
      </c>
      <c r="F15" s="3">
        <v>3967</v>
      </c>
      <c r="G15" s="3">
        <v>23.11</v>
      </c>
      <c r="H15" s="3">
        <v>27.06</v>
      </c>
      <c r="I15" s="3">
        <v>191.0</v>
      </c>
      <c r="J15" s="3">
        <v>587.0</v>
      </c>
      <c r="K15" s="3">
        <v>396.0</v>
      </c>
      <c r="L15" s="0" t="inlineStr">
        <is>
          <t>M1 faster</t>
        </is>
      </c>
    </row>
    <row r="16">
      <c r="A16" s="0" t="inlineStr">
        <is>
          <t>S01_Open_Space</t>
        </is>
      </c>
      <c r="B16" s="0" t="inlineStr">
        <is>
          <t>S01_G08_C</t>
        </is>
      </c>
      <c r="C16" s="0" t="inlineStr">
        <is>
          <t>S01</t>
        </is>
      </c>
      <c r="D16" s="0" t="inlineStr">
        <is>
          <t>S01_G08</t>
        </is>
      </c>
      <c r="E16" s="0" t="inlineStr">
        <is>
          <t>C</t>
        </is>
      </c>
      <c r="F16" s="3">
        <v>4020</v>
      </c>
      <c r="G16" s="3">
        <v>40.38</v>
      </c>
      <c r="H16" s="3">
        <v>62.91</v>
      </c>
      <c r="I16" s="3">
        <v>255.0</v>
      </c>
      <c r="J16" s="3">
        <v>649.0</v>
      </c>
      <c r="K16" s="3">
        <v>394.0</v>
      </c>
      <c r="L16" s="0" t="inlineStr">
        <is>
          <t>M1 faster</t>
        </is>
      </c>
    </row>
    <row r="17">
      <c r="A17" s="0" t="inlineStr">
        <is>
          <t>S01_Open_Space</t>
        </is>
      </c>
      <c r="B17" s="0" t="inlineStr">
        <is>
          <t>S01_G08_D</t>
        </is>
      </c>
      <c r="C17" s="0" t="inlineStr">
        <is>
          <t>S01</t>
        </is>
      </c>
      <c r="D17" s="0" t="inlineStr">
        <is>
          <t>S01_G08</t>
        </is>
      </c>
      <c r="E17" s="0" t="inlineStr">
        <is>
          <t>D</t>
        </is>
      </c>
      <c r="F17" s="3">
        <v>4020</v>
      </c>
      <c r="G17" s="3">
        <v>12.31</v>
      </c>
      <c r="H17" s="3">
        <v>14.05</v>
      </c>
      <c r="I17" s="3">
        <v>-3.0</v>
      </c>
      <c r="J17" s="3">
        <v>627.0</v>
      </c>
      <c r="K17" s="3">
        <v>630.0</v>
      </c>
      <c r="L17" s="0" t="inlineStr">
        <is>
          <t>M0 faster</t>
        </is>
      </c>
    </row>
    <row r="18">
      <c r="A18" s="0" t="inlineStr">
        <is>
          <t>S01_Open_Space</t>
        </is>
      </c>
      <c r="B18" s="0" t="inlineStr">
        <is>
          <t>S01_G09_C</t>
        </is>
      </c>
      <c r="C18" s="0" t="inlineStr">
        <is>
          <t>S01</t>
        </is>
      </c>
      <c r="D18" s="0" t="inlineStr">
        <is>
          <t>S01_G09</t>
        </is>
      </c>
      <c r="E18" s="0" t="inlineStr">
        <is>
          <t>C</t>
        </is>
      </c>
      <c r="F18" s="3">
        <v>4015</v>
      </c>
      <c r="G18" s="3">
        <v>47.79</v>
      </c>
      <c r="H18" s="3">
        <v>84.71</v>
      </c>
      <c r="I18" s="3">
        <v>159.0</v>
      </c>
      <c r="J18" s="3">
        <v>658.0</v>
      </c>
      <c r="K18" s="3">
        <v>499.0</v>
      </c>
      <c r="L18" s="0" t="inlineStr">
        <is>
          <t>M1 faster</t>
        </is>
      </c>
    </row>
    <row r="19">
      <c r="A19" s="0" t="inlineStr">
        <is>
          <t>S01_Open_Space</t>
        </is>
      </c>
      <c r="B19" s="0" t="inlineStr">
        <is>
          <t>S01_G09_D</t>
        </is>
      </c>
      <c r="C19" s="0" t="inlineStr">
        <is>
          <t>S01</t>
        </is>
      </c>
      <c r="D19" s="0" t="inlineStr">
        <is>
          <t>S01_G09</t>
        </is>
      </c>
      <c r="E19" s="0" t="inlineStr">
        <is>
          <t>D</t>
        </is>
      </c>
      <c r="F19" s="3">
        <v>4015</v>
      </c>
      <c r="G19" s="3">
        <v>14.62</v>
      </c>
      <c r="H19" s="3">
        <v>13.93</v>
      </c>
      <c r="I19" s="3">
        <v>199.0</v>
      </c>
      <c r="J19" s="3">
        <v>691.0</v>
      </c>
      <c r="K19" s="3">
        <v>492.0</v>
      </c>
      <c r="L19" s="0" t="inlineStr">
        <is>
          <t>M1 faster</t>
        </is>
      </c>
    </row>
    <row r="20">
      <c r="A20" s="0" t="inlineStr">
        <is>
          <t>S01_Open_Space</t>
        </is>
      </c>
      <c r="B20" s="0" t="inlineStr">
        <is>
          <t>S01_G10_C</t>
        </is>
      </c>
      <c r="C20" s="0" t="inlineStr">
        <is>
          <t>S01</t>
        </is>
      </c>
      <c r="D20" s="0" t="inlineStr">
        <is>
          <t>S01_G10</t>
        </is>
      </c>
      <c r="E20" s="0" t="inlineStr">
        <is>
          <t>C</t>
        </is>
      </c>
      <c r="F20" s="3">
        <v>3990</v>
      </c>
      <c r="G20" s="3">
        <v>52.63</v>
      </c>
      <c r="H20" s="3">
        <v>77.87</v>
      </c>
      <c r="I20" s="3">
        <v>147.0</v>
      </c>
      <c r="J20" s="3">
        <v>649.0</v>
      </c>
      <c r="K20" s="3">
        <v>502.0</v>
      </c>
      <c r="L20" s="0" t="inlineStr">
        <is>
          <t>M1 faster</t>
        </is>
      </c>
    </row>
    <row r="21">
      <c r="A21" s="0" t="inlineStr">
        <is>
          <t>S01_Open_Space</t>
        </is>
      </c>
      <c r="B21" s="0" t="inlineStr">
        <is>
          <t>S01_G10_D</t>
        </is>
      </c>
      <c r="C21" s="0" t="inlineStr">
        <is>
          <t>S01</t>
        </is>
      </c>
      <c r="D21" s="0" t="inlineStr">
        <is>
          <t>S01_G10</t>
        </is>
      </c>
      <c r="E21" s="0" t="inlineStr">
        <is>
          <t>D</t>
        </is>
      </c>
      <c r="F21" s="3">
        <v>3990</v>
      </c>
      <c r="G21" s="3">
        <v>12.42</v>
      </c>
      <c r="H21" s="3">
        <v>11.51</v>
      </c>
      <c r="I21" s="3">
        <v>75.0</v>
      </c>
      <c r="J21" s="3">
        <v>630.0</v>
      </c>
      <c r="K21" s="3">
        <v>555.0</v>
      </c>
      <c r="L21" s="0" t="inlineStr">
        <is>
          <t>M1 faster</t>
        </is>
      </c>
    </row>
    <row r="22">
      <c r="A22" s="0" t="inlineStr">
        <is>
          <t>S02_Partitioned_Rooms</t>
        </is>
      </c>
      <c r="B22" s="0" t="inlineStr">
        <is>
          <t>S02_G01_C</t>
        </is>
      </c>
      <c r="C22" s="0" t="inlineStr">
        <is>
          <t>S02</t>
        </is>
      </c>
      <c r="D22" s="0" t="inlineStr">
        <is>
          <t>S02_G01</t>
        </is>
      </c>
      <c r="E22" s="0" t="inlineStr">
        <is>
          <t>C</t>
        </is>
      </c>
      <c r="F22" s="3">
        <v>3960</v>
      </c>
      <c r="G22" s="3">
        <v>43.82</v>
      </c>
      <c r="H22" s="3">
        <v>71.74</v>
      </c>
      <c r="I22" s="3">
        <v>110.0</v>
      </c>
      <c r="J22" s="3">
        <v>645.0</v>
      </c>
      <c r="K22" s="3">
        <v>535.0</v>
      </c>
      <c r="L22" s="0" t="inlineStr">
        <is>
          <t>M1 faster</t>
        </is>
      </c>
    </row>
    <row r="23">
      <c r="A23" s="0" t="inlineStr">
        <is>
          <t>S02_Partitioned_Rooms</t>
        </is>
      </c>
      <c r="B23" s="0" t="inlineStr">
        <is>
          <t>S02_G01_D</t>
        </is>
      </c>
      <c r="C23" s="0" t="inlineStr">
        <is>
          <t>S02</t>
        </is>
      </c>
      <c r="D23" s="0" t="inlineStr">
        <is>
          <t>S02_G01</t>
        </is>
      </c>
      <c r="E23" s="0" t="inlineStr">
        <is>
          <t>D</t>
        </is>
      </c>
      <c r="F23" s="3">
        <v>3960</v>
      </c>
      <c r="G23" s="3">
        <v>41.36</v>
      </c>
      <c r="H23" s="3">
        <v>47.9</v>
      </c>
      <c r="I23" s="3">
        <v>189.0</v>
      </c>
      <c r="J23" s="3">
        <v>730.0</v>
      </c>
      <c r="K23" s="3">
        <v>541.0</v>
      </c>
      <c r="L23" s="0" t="inlineStr">
        <is>
          <t>M1 faster</t>
        </is>
      </c>
    </row>
    <row r="24">
      <c r="A24" s="0" t="inlineStr">
        <is>
          <t>S02_Partitioned_Rooms</t>
        </is>
      </c>
      <c r="B24" s="0" t="inlineStr">
        <is>
          <t>S02_G02_C</t>
        </is>
      </c>
      <c r="C24" s="0" t="inlineStr">
        <is>
          <t>S02</t>
        </is>
      </c>
      <c r="D24" s="0" t="inlineStr">
        <is>
          <t>S02_G02</t>
        </is>
      </c>
      <c r="E24" s="0" t="inlineStr">
        <is>
          <t>C</t>
        </is>
      </c>
      <c r="F24" s="3">
        <v>3962</v>
      </c>
      <c r="G24" s="3">
        <v>33.89</v>
      </c>
      <c r="H24" s="3">
        <v>33.35</v>
      </c>
      <c r="I24" s="3">
        <v>181.0</v>
      </c>
      <c r="J24" s="3">
        <v>723.0</v>
      </c>
      <c r="K24" s="3">
        <v>542.0</v>
      </c>
      <c r="L24" s="0" t="inlineStr">
        <is>
          <t>M1 faster</t>
        </is>
      </c>
    </row>
    <row r="25">
      <c r="A25" s="0" t="inlineStr">
        <is>
          <t>S02_Partitioned_Rooms</t>
        </is>
      </c>
      <c r="B25" s="0" t="inlineStr">
        <is>
          <t>S02_G02_D</t>
        </is>
      </c>
      <c r="C25" s="0" t="inlineStr">
        <is>
          <t>S02</t>
        </is>
      </c>
      <c r="D25" s="0" t="inlineStr">
        <is>
          <t>S02_G02</t>
        </is>
      </c>
      <c r="E25" s="0" t="inlineStr">
        <is>
          <t>D</t>
        </is>
      </c>
      <c r="F25" s="3">
        <v>3962</v>
      </c>
      <c r="G25" s="3">
        <v>19.5</v>
      </c>
      <c r="H25" s="3">
        <v>17.02</v>
      </c>
      <c r="I25" s="3">
        <v>22.0</v>
      </c>
      <c r="J25" s="3">
        <v>629.0</v>
      </c>
      <c r="K25" s="3">
        <v>607.0</v>
      </c>
      <c r="L25" s="0" t="inlineStr">
        <is>
          <t>M1 faster</t>
        </is>
      </c>
    </row>
    <row r="26">
      <c r="A26" s="0" t="inlineStr">
        <is>
          <t>S02_Partitioned_Rooms</t>
        </is>
      </c>
      <c r="B26" s="0" t="inlineStr">
        <is>
          <t>S02_G03_C</t>
        </is>
      </c>
      <c r="C26" s="0" t="inlineStr">
        <is>
          <t>S02</t>
        </is>
      </c>
      <c r="D26" s="0" t="inlineStr">
        <is>
          <t>S02_G03</t>
        </is>
      </c>
      <c r="E26" s="0" t="inlineStr">
        <is>
          <t>C</t>
        </is>
      </c>
      <c r="F26" s="3">
        <v>4003</v>
      </c>
      <c r="G26" s="3">
        <v>56.65</v>
      </c>
      <c r="H26" s="3">
        <v>88.56</v>
      </c>
      <c r="I26" s="3">
        <v>231.0</v>
      </c>
      <c r="J26" s="3">
        <v>709.0</v>
      </c>
      <c r="K26" s="3">
        <v>478.0</v>
      </c>
      <c r="L26" s="0" t="inlineStr">
        <is>
          <t>M1 faster</t>
        </is>
      </c>
    </row>
    <row r="27">
      <c r="A27" s="0" t="inlineStr">
        <is>
          <t>S02_Partitioned_Rooms</t>
        </is>
      </c>
      <c r="B27" s="0" t="inlineStr">
        <is>
          <t>S02_G03_D</t>
        </is>
      </c>
      <c r="C27" s="0" t="inlineStr">
        <is>
          <t>S02</t>
        </is>
      </c>
      <c r="D27" s="0" t="inlineStr">
        <is>
          <t>S02_G03</t>
        </is>
      </c>
      <c r="E27" s="0" t="inlineStr">
        <is>
          <t>D</t>
        </is>
      </c>
      <c r="F27" s="3">
        <v>4003</v>
      </c>
      <c r="G27" s="3">
        <v>17.8</v>
      </c>
      <c r="H27" s="3">
        <v>17.55</v>
      </c>
      <c r="I27" s="3">
        <v>55.0</v>
      </c>
      <c r="J27" s="3">
        <v>633.0</v>
      </c>
      <c r="K27" s="3">
        <v>578.0</v>
      </c>
      <c r="L27" s="0" t="inlineStr">
        <is>
          <t>M1 faster</t>
        </is>
      </c>
    </row>
    <row r="28">
      <c r="A28" s="0" t="inlineStr">
        <is>
          <t>S02_Partitioned_Rooms</t>
        </is>
      </c>
      <c r="B28" s="0" t="inlineStr">
        <is>
          <t>S02_G04_C</t>
        </is>
      </c>
      <c r="C28" s="0" t="inlineStr">
        <is>
          <t>S02</t>
        </is>
      </c>
      <c r="D28" s="0" t="inlineStr">
        <is>
          <t>S02_G04</t>
        </is>
      </c>
      <c r="E28" s="0" t="inlineStr">
        <is>
          <t>C</t>
        </is>
      </c>
      <c r="F28" s="3">
        <v>3912</v>
      </c>
      <c r="G28" s="3">
        <v>42.93</v>
      </c>
      <c r="H28" s="3">
        <v>62.72</v>
      </c>
      <c r="I28" s="3">
        <v>117.0</v>
      </c>
      <c r="J28" s="3">
        <v>837.0</v>
      </c>
      <c r="K28" s="3">
        <v>720.0</v>
      </c>
      <c r="L28" s="0" t="inlineStr">
        <is>
          <t>M1 faster</t>
        </is>
      </c>
    </row>
    <row r="29">
      <c r="A29" s="0" t="inlineStr">
        <is>
          <t>S02_Partitioned_Rooms</t>
        </is>
      </c>
      <c r="B29" s="0" t="inlineStr">
        <is>
          <t>S02_G04_D</t>
        </is>
      </c>
      <c r="C29" s="0" t="inlineStr">
        <is>
          <t>S02</t>
        </is>
      </c>
      <c r="D29" s="0" t="inlineStr">
        <is>
          <t>S02_G04</t>
        </is>
      </c>
      <c r="E29" s="0" t="inlineStr">
        <is>
          <t>D</t>
        </is>
      </c>
      <c r="F29" s="3">
        <v>3912</v>
      </c>
      <c r="G29" s="3">
        <v>17.17</v>
      </c>
      <c r="H29" s="3">
        <v>20.98</v>
      </c>
      <c r="I29" s="3">
        <v>-14.0</v>
      </c>
      <c r="J29" s="3">
        <v>518.0</v>
      </c>
      <c r="K29" s="3">
        <v>532.0</v>
      </c>
      <c r="L29" s="0" t="inlineStr">
        <is>
          <t>M0 faster</t>
        </is>
      </c>
    </row>
    <row r="30">
      <c r="A30" s="0" t="inlineStr">
        <is>
          <t>S02_Partitioned_Rooms</t>
        </is>
      </c>
      <c r="B30" s="0" t="inlineStr">
        <is>
          <t>S02_G05_C</t>
        </is>
      </c>
      <c r="C30" s="0" t="inlineStr">
        <is>
          <t>S02</t>
        </is>
      </c>
      <c r="D30" s="0" t="inlineStr">
        <is>
          <t>S02_G05</t>
        </is>
      </c>
      <c r="E30" s="0" t="inlineStr">
        <is>
          <t>C</t>
        </is>
      </c>
      <c r="F30" s="3">
        <v>4003</v>
      </c>
      <c r="G30" s="3">
        <v>47.9</v>
      </c>
      <c r="H30" s="3">
        <v>80.9</v>
      </c>
      <c r="I30" s="3">
        <v>130.0</v>
      </c>
      <c r="J30" s="3">
        <v>732.0</v>
      </c>
      <c r="K30" s="3">
        <v>602.0</v>
      </c>
      <c r="L30" s="0" t="inlineStr">
        <is>
          <t>M1 faster</t>
        </is>
      </c>
    </row>
    <row r="31">
      <c r="A31" s="0" t="inlineStr">
        <is>
          <t>S02_Partitioned_Rooms</t>
        </is>
      </c>
      <c r="B31" s="0" t="inlineStr">
        <is>
          <t>S02_G05_D</t>
        </is>
      </c>
      <c r="C31" s="0" t="inlineStr">
        <is>
          <t>S02</t>
        </is>
      </c>
      <c r="D31" s="0" t="inlineStr">
        <is>
          <t>S02_G05</t>
        </is>
      </c>
      <c r="E31" s="0" t="inlineStr">
        <is>
          <t>D</t>
        </is>
      </c>
      <c r="F31" s="3">
        <v>4003</v>
      </c>
      <c r="G31" s="3">
        <v>40.19</v>
      </c>
      <c r="H31" s="3">
        <v>38.44</v>
      </c>
      <c r="I31" s="3">
        <v>299.0</v>
      </c>
      <c r="J31" s="3">
        <v>697.0</v>
      </c>
      <c r="K31" s="3">
        <v>398.0</v>
      </c>
      <c r="L31" s="0" t="inlineStr">
        <is>
          <t>M1 faster</t>
        </is>
      </c>
    </row>
    <row r="32">
      <c r="A32" s="0" t="inlineStr">
        <is>
          <t>S02_Partitioned_Rooms</t>
        </is>
      </c>
      <c r="B32" s="0" t="inlineStr">
        <is>
          <t>S02_G06_C</t>
        </is>
      </c>
      <c r="C32" s="0" t="inlineStr">
        <is>
          <t>S02</t>
        </is>
      </c>
      <c r="D32" s="0" t="inlineStr">
        <is>
          <t>S02_G06</t>
        </is>
      </c>
      <c r="E32" s="0" t="inlineStr">
        <is>
          <t>C</t>
        </is>
      </c>
      <c r="F32" s="3">
        <v>3962</v>
      </c>
      <c r="G32" s="3">
        <v>48.59</v>
      </c>
      <c r="H32" s="3">
        <v>71.68</v>
      </c>
      <c r="I32" s="3">
        <v>262.0</v>
      </c>
      <c r="J32" s="3">
        <v>730.0</v>
      </c>
      <c r="K32" s="3">
        <v>468.0</v>
      </c>
      <c r="L32" s="0" t="inlineStr">
        <is>
          <t>M1 faster</t>
        </is>
      </c>
    </row>
    <row r="33">
      <c r="A33" s="0" t="inlineStr">
        <is>
          <t>S02_Partitioned_Rooms</t>
        </is>
      </c>
      <c r="B33" s="0" t="inlineStr">
        <is>
          <t>S02_G06_D</t>
        </is>
      </c>
      <c r="C33" s="0" t="inlineStr">
        <is>
          <t>S02</t>
        </is>
      </c>
      <c r="D33" s="0" t="inlineStr">
        <is>
          <t>S02_G06</t>
        </is>
      </c>
      <c r="E33" s="0" t="inlineStr">
        <is>
          <t>D</t>
        </is>
      </c>
      <c r="F33" s="3">
        <v>3962</v>
      </c>
      <c r="G33" s="3">
        <v>37.61</v>
      </c>
      <c r="H33" s="3">
        <v>34.12</v>
      </c>
      <c r="I33" s="3">
        <v>255.0</v>
      </c>
      <c r="J33" s="3">
        <v>742.0</v>
      </c>
      <c r="K33" s="3">
        <v>487.0</v>
      </c>
      <c r="L33" s="0" t="inlineStr">
        <is>
          <t>M1 faster</t>
        </is>
      </c>
    </row>
    <row r="34">
      <c r="A34" s="0" t="inlineStr">
        <is>
          <t>S02_Partitioned_Rooms</t>
        </is>
      </c>
      <c r="B34" s="0" t="inlineStr">
        <is>
          <t>S02_G07_C</t>
        </is>
      </c>
      <c r="C34" s="0" t="inlineStr">
        <is>
          <t>S02</t>
        </is>
      </c>
      <c r="D34" s="0" t="inlineStr">
        <is>
          <t>S02_G07</t>
        </is>
      </c>
      <c r="E34" s="0" t="inlineStr">
        <is>
          <t>C</t>
        </is>
      </c>
      <c r="F34" s="3">
        <v>3960</v>
      </c>
      <c r="G34" s="3">
        <v>49.09</v>
      </c>
      <c r="H34" s="3">
        <v>77.58</v>
      </c>
      <c r="I34" s="3">
        <v>68.0</v>
      </c>
      <c r="J34" s="3">
        <v>671.0</v>
      </c>
      <c r="K34" s="3">
        <v>603.0</v>
      </c>
      <c r="L34" s="0" t="inlineStr">
        <is>
          <t>M1 faster</t>
        </is>
      </c>
    </row>
    <row r="35">
      <c r="A35" s="0" t="inlineStr">
        <is>
          <t>S02_Partitioned_Rooms</t>
        </is>
      </c>
      <c r="B35" s="0" t="inlineStr">
        <is>
          <t>S02_G07_D</t>
        </is>
      </c>
      <c r="C35" s="0" t="inlineStr">
        <is>
          <t>S02</t>
        </is>
      </c>
      <c r="D35" s="0" t="inlineStr">
        <is>
          <t>S02_G07</t>
        </is>
      </c>
      <c r="E35" s="0" t="inlineStr">
        <is>
          <t>D</t>
        </is>
      </c>
      <c r="F35" s="3">
        <v>3960</v>
      </c>
      <c r="G35" s="3">
        <v>29.08</v>
      </c>
      <c r="H35" s="3">
        <v>36.11</v>
      </c>
      <c r="I35" s="3">
        <v>-18.0</v>
      </c>
      <c r="J35" s="3">
        <v>586.0</v>
      </c>
      <c r="K35" s="3">
        <v>604.0</v>
      </c>
      <c r="L35" s="0" t="inlineStr">
        <is>
          <t>M0 faster</t>
        </is>
      </c>
    </row>
    <row r="36">
      <c r="A36" s="0" t="inlineStr">
        <is>
          <t>S02_Partitioned_Rooms</t>
        </is>
      </c>
      <c r="B36" s="0" t="inlineStr">
        <is>
          <t>S02_G08_C</t>
        </is>
      </c>
      <c r="C36" s="0" t="inlineStr">
        <is>
          <t>S02</t>
        </is>
      </c>
      <c r="D36" s="0" t="inlineStr">
        <is>
          <t>S02_G08</t>
        </is>
      </c>
      <c r="E36" s="0" t="inlineStr">
        <is>
          <t>C</t>
        </is>
      </c>
      <c r="F36" s="3">
        <v>3962</v>
      </c>
      <c r="G36" s="3">
        <v>32.77</v>
      </c>
      <c r="H36" s="3">
        <v>72.96</v>
      </c>
      <c r="I36" s="3">
        <v>69.0</v>
      </c>
      <c r="J36" s="3">
        <v>646.0</v>
      </c>
      <c r="K36" s="3">
        <v>577.0</v>
      </c>
      <c r="L36" s="0" t="inlineStr">
        <is>
          <t>M1 faster</t>
        </is>
      </c>
    </row>
    <row r="37">
      <c r="A37" s="0" t="inlineStr">
        <is>
          <t>S02_Partitioned_Rooms</t>
        </is>
      </c>
      <c r="B37" s="0" t="inlineStr">
        <is>
          <t>S02_G08_D</t>
        </is>
      </c>
      <c r="C37" s="0" t="inlineStr">
        <is>
          <t>S02</t>
        </is>
      </c>
      <c r="D37" s="0" t="inlineStr">
        <is>
          <t>S02_G08</t>
        </is>
      </c>
      <c r="E37" s="0" t="inlineStr">
        <is>
          <t>D</t>
        </is>
      </c>
      <c r="F37" s="3">
        <v>3962</v>
      </c>
      <c r="G37" s="3">
        <v>30.95</v>
      </c>
      <c r="H37" s="3">
        <v>31.23</v>
      </c>
      <c r="I37" s="3">
        <v>144.0</v>
      </c>
      <c r="J37" s="3">
        <v>683.0</v>
      </c>
      <c r="K37" s="3">
        <v>539.0</v>
      </c>
      <c r="L37" s="0" t="inlineStr">
        <is>
          <t>M1 faster</t>
        </is>
      </c>
    </row>
    <row r="38">
      <c r="A38" s="0" t="inlineStr">
        <is>
          <t>S02_Partitioned_Rooms</t>
        </is>
      </c>
      <c r="B38" s="0" t="inlineStr">
        <is>
          <t>S02_G09_C</t>
        </is>
      </c>
      <c r="C38" s="0" t="inlineStr">
        <is>
          <t>S02</t>
        </is>
      </c>
      <c r="D38" s="0" t="inlineStr">
        <is>
          <t>S02_G09</t>
        </is>
      </c>
      <c r="E38" s="0" t="inlineStr">
        <is>
          <t>C</t>
        </is>
      </c>
      <c r="F38" s="3">
        <v>4003</v>
      </c>
      <c r="G38" s="3">
        <v>41.91</v>
      </c>
      <c r="H38" s="3">
        <v>62.84</v>
      </c>
      <c r="I38" s="3">
        <v>52.0</v>
      </c>
      <c r="J38" s="3">
        <v>654.0</v>
      </c>
      <c r="K38" s="3">
        <v>602.0</v>
      </c>
      <c r="L38" s="0" t="inlineStr">
        <is>
          <t>M1 faster</t>
        </is>
      </c>
    </row>
    <row r="39">
      <c r="A39" s="0" t="inlineStr">
        <is>
          <t>S02_Partitioned_Rooms</t>
        </is>
      </c>
      <c r="B39" s="0" t="inlineStr">
        <is>
          <t>S02_G09_D</t>
        </is>
      </c>
      <c r="C39" s="0" t="inlineStr">
        <is>
          <t>S02</t>
        </is>
      </c>
      <c r="D39" s="0" t="inlineStr">
        <is>
          <t>S02_G09</t>
        </is>
      </c>
      <c r="E39" s="0" t="inlineStr">
        <is>
          <t>D</t>
        </is>
      </c>
      <c r="F39" s="3">
        <v>4003</v>
      </c>
      <c r="G39" s="3">
        <v>27.8</v>
      </c>
      <c r="H39" s="3">
        <v>29.32</v>
      </c>
      <c r="I39" s="3">
        <v>114.0</v>
      </c>
      <c r="J39" s="3">
        <v>683.0</v>
      </c>
      <c r="K39" s="3">
        <v>569.0</v>
      </c>
      <c r="L39" s="0" t="inlineStr">
        <is>
          <t>M1 faster</t>
        </is>
      </c>
    </row>
    <row r="40">
      <c r="A40" s="0" t="inlineStr">
        <is>
          <t>S02_Partitioned_Rooms</t>
        </is>
      </c>
      <c r="B40" s="0" t="inlineStr">
        <is>
          <t>S02_G10_C</t>
        </is>
      </c>
      <c r="C40" s="0" t="inlineStr">
        <is>
          <t>S02</t>
        </is>
      </c>
      <c r="D40" s="0" t="inlineStr">
        <is>
          <t>S02_G10</t>
        </is>
      </c>
      <c r="E40" s="0" t="inlineStr">
        <is>
          <t>C</t>
        </is>
      </c>
      <c r="F40" s="3">
        <v>3912</v>
      </c>
      <c r="G40" s="3">
        <v>33.97</v>
      </c>
      <c r="H40" s="3">
        <v>35.04</v>
      </c>
      <c r="I40" s="3">
        <v>109.0</v>
      </c>
      <c r="J40" s="3">
        <v>695.0</v>
      </c>
      <c r="K40" s="3">
        <v>586.0</v>
      </c>
      <c r="L40" s="0" t="inlineStr">
        <is>
          <t>M1 faster</t>
        </is>
      </c>
    </row>
    <row r="41">
      <c r="A41" s="0" t="inlineStr">
        <is>
          <t>S02_Partitioned_Rooms</t>
        </is>
      </c>
      <c r="B41" s="0" t="inlineStr">
        <is>
          <t>S02_G10_D</t>
        </is>
      </c>
      <c r="C41" s="0" t="inlineStr">
        <is>
          <t>S02</t>
        </is>
      </c>
      <c r="D41" s="0" t="inlineStr">
        <is>
          <t>S02_G10</t>
        </is>
      </c>
      <c r="E41" s="0" t="inlineStr">
        <is>
          <t>D</t>
        </is>
      </c>
      <c r="F41" s="3">
        <v>3912</v>
      </c>
      <c r="G41" s="3">
        <v>23.71</v>
      </c>
      <c r="H41" s="3">
        <v>28.54</v>
      </c>
      <c r="I41" s="3">
        <v>62.0</v>
      </c>
      <c r="J41" s="3">
        <v>589.0</v>
      </c>
      <c r="K41" s="3">
        <v>527.0</v>
      </c>
      <c r="L41" s="0" t="inlineStr">
        <is>
          <t>M1 faster</t>
        </is>
      </c>
    </row>
    <row r="42">
      <c r="A42" s="0" t="inlineStr">
        <is>
          <t>S03_Branching_Corridors</t>
        </is>
      </c>
      <c r="B42" s="0" t="inlineStr">
        <is>
          <t>S03_G01_C</t>
        </is>
      </c>
      <c r="C42" s="0" t="inlineStr">
        <is>
          <t>S03</t>
        </is>
      </c>
      <c r="D42" s="0" t="inlineStr">
        <is>
          <t>S03_G01</t>
        </is>
      </c>
      <c r="E42" s="0" t="inlineStr">
        <is>
          <t>C</t>
        </is>
      </c>
      <c r="F42" s="3">
        <v>1535</v>
      </c>
      <c r="G42" s="3">
        <v>39.51</v>
      </c>
      <c r="H42" s="3">
        <v>36.11</v>
      </c>
      <c r="I42" s="3">
        <v>160.0</v>
      </c>
      <c r="J42" s="3">
        <v>426.0</v>
      </c>
      <c r="K42" s="3">
        <v>266.0</v>
      </c>
      <c r="L42" s="0" t="inlineStr">
        <is>
          <t>M1 faster</t>
        </is>
      </c>
    </row>
    <row r="43">
      <c r="A43" s="0" t="inlineStr">
        <is>
          <t>S03_Branching_Corridors</t>
        </is>
      </c>
      <c r="B43" s="0" t="inlineStr">
        <is>
          <t>S03_G01_D</t>
        </is>
      </c>
      <c r="C43" s="0" t="inlineStr">
        <is>
          <t>S03</t>
        </is>
      </c>
      <c r="D43" s="0" t="inlineStr">
        <is>
          <t>S03_G01</t>
        </is>
      </c>
      <c r="E43" s="0" t="inlineStr">
        <is>
          <t>D</t>
        </is>
      </c>
      <c r="F43" s="3">
        <v>1535</v>
      </c>
      <c r="G43" s="3">
        <v>31.13</v>
      </c>
      <c r="H43" s="3">
        <v>32.76</v>
      </c>
      <c r="I43" s="3">
        <v>96.0</v>
      </c>
      <c r="J43" s="3">
        <v>259.0</v>
      </c>
      <c r="K43" s="3">
        <v>163.0</v>
      </c>
      <c r="L43" s="0" t="inlineStr">
        <is>
          <t>M1 faster</t>
        </is>
      </c>
    </row>
    <row r="44">
      <c r="A44" s="0" t="inlineStr">
        <is>
          <t>S03_Branching_Corridors</t>
        </is>
      </c>
      <c r="B44" s="0" t="inlineStr">
        <is>
          <t>S03_G02_C</t>
        </is>
      </c>
      <c r="C44" s="0" t="inlineStr">
        <is>
          <t>S03</t>
        </is>
      </c>
      <c r="D44" s="0" t="inlineStr">
        <is>
          <t>S03_G02</t>
        </is>
      </c>
      <c r="E44" s="0" t="inlineStr">
        <is>
          <t>C</t>
        </is>
      </c>
      <c r="F44" s="3">
        <v>1535</v>
      </c>
      <c r="G44" s="3">
        <v>39.85</v>
      </c>
      <c r="H44" s="3">
        <v>37.18</v>
      </c>
      <c r="I44" s="3">
        <v>122.0</v>
      </c>
      <c r="J44" s="3">
        <v>345.0</v>
      </c>
      <c r="K44" s="3">
        <v>223.0</v>
      </c>
      <c r="L44" s="0" t="inlineStr">
        <is>
          <t>M1 faster</t>
        </is>
      </c>
    </row>
    <row r="45">
      <c r="A45" s="0" t="inlineStr">
        <is>
          <t>S03_Branching_Corridors</t>
        </is>
      </c>
      <c r="B45" s="0" t="inlineStr">
        <is>
          <t>S03_G02_D</t>
        </is>
      </c>
      <c r="C45" s="0" t="inlineStr">
        <is>
          <t>S03</t>
        </is>
      </c>
      <c r="D45" s="0" t="inlineStr">
        <is>
          <t>S03_G02</t>
        </is>
      </c>
      <c r="E45" s="0" t="inlineStr">
        <is>
          <t>D</t>
        </is>
      </c>
      <c r="F45" s="3">
        <v>1535</v>
      </c>
      <c r="G45" s="3">
        <v>37.8</v>
      </c>
      <c r="H45" s="3">
        <v>45.15</v>
      </c>
      <c r="I45" s="3">
        <v>186.0</v>
      </c>
      <c r="J45" s="3">
        <v>389.0</v>
      </c>
      <c r="K45" s="3">
        <v>203.0</v>
      </c>
      <c r="L45" s="0" t="inlineStr">
        <is>
          <t>M1 faster</t>
        </is>
      </c>
    </row>
    <row r="46">
      <c r="A46" s="0" t="inlineStr">
        <is>
          <t>S03_Branching_Corridors</t>
        </is>
      </c>
      <c r="B46" s="0" t="inlineStr">
        <is>
          <t>S03_G03_C</t>
        </is>
      </c>
      <c r="C46" s="0" t="inlineStr">
        <is>
          <t>S03</t>
        </is>
      </c>
      <c r="D46" s="0" t="inlineStr">
        <is>
          <t>S03_G03</t>
        </is>
      </c>
      <c r="E46" s="0" t="inlineStr">
        <is>
          <t>C</t>
        </is>
      </c>
      <c r="F46" s="3">
        <v>1535</v>
      </c>
      <c r="G46" s="3">
        <v>60.25</v>
      </c>
      <c r="H46" s="3">
        <v>76.22</v>
      </c>
      <c r="I46" s="3">
        <v>314.0</v>
      </c>
      <c r="J46" s="3">
        <v>555.0</v>
      </c>
      <c r="K46" s="3">
        <v>241.0</v>
      </c>
      <c r="L46" s="0" t="inlineStr">
        <is>
          <t>M1 faster</t>
        </is>
      </c>
    </row>
    <row r="47">
      <c r="A47" s="0" t="inlineStr">
        <is>
          <t>S03_Branching_Corridors</t>
        </is>
      </c>
      <c r="B47" s="0" t="inlineStr">
        <is>
          <t>S03_G03_D</t>
        </is>
      </c>
      <c r="C47" s="0" t="inlineStr">
        <is>
          <t>S03</t>
        </is>
      </c>
      <c r="D47" s="0" t="inlineStr">
        <is>
          <t>S03_G03</t>
        </is>
      </c>
      <c r="E47" s="0" t="inlineStr">
        <is>
          <t>D</t>
        </is>
      </c>
      <c r="F47" s="3">
        <v>1535</v>
      </c>
      <c r="G47" s="3">
        <v>15.32</v>
      </c>
      <c r="H47" s="3">
        <v>16.17</v>
      </c>
      <c r="I47" s="3">
        <v>-1.0</v>
      </c>
      <c r="J47" s="3">
        <v>115.0</v>
      </c>
      <c r="K47" s="3">
        <v>116.0</v>
      </c>
      <c r="L47" s="0" t="inlineStr">
        <is>
          <t>M0 faster</t>
        </is>
      </c>
    </row>
    <row r="48">
      <c r="A48" s="0" t="inlineStr">
        <is>
          <t>S03_Branching_Corridors</t>
        </is>
      </c>
      <c r="B48" s="0" t="inlineStr">
        <is>
          <t>S03_G04_C</t>
        </is>
      </c>
      <c r="C48" s="0" t="inlineStr">
        <is>
          <t>S03</t>
        </is>
      </c>
      <c r="D48" s="0" t="inlineStr">
        <is>
          <t>S03_G04</t>
        </is>
      </c>
      <c r="E48" s="0" t="inlineStr">
        <is>
          <t>C</t>
        </is>
      </c>
      <c r="F48" s="3">
        <v>1465</v>
      </c>
      <c r="G48" s="3">
        <v>20.61</v>
      </c>
      <c r="H48" s="3">
        <v>37.4</v>
      </c>
      <c r="I48" s="3">
        <v>2.0</v>
      </c>
      <c r="J48" s="3">
        <v>517.0</v>
      </c>
      <c r="K48" s="3">
        <v>515.0</v>
      </c>
      <c r="L48" s="0" t="inlineStr">
        <is>
          <t>M1 faster</t>
        </is>
      </c>
    </row>
    <row r="49">
      <c r="A49" s="0" t="inlineStr">
        <is>
          <t>S03_Branching_Corridors</t>
        </is>
      </c>
      <c r="B49" s="0" t="inlineStr">
        <is>
          <t>S03_G04_D</t>
        </is>
      </c>
      <c r="C49" s="0" t="inlineStr">
        <is>
          <t>S03</t>
        </is>
      </c>
      <c r="D49" s="0" t="inlineStr">
        <is>
          <t>S03_G04</t>
        </is>
      </c>
      <c r="E49" s="0" t="inlineStr">
        <is>
          <t>D</t>
        </is>
      </c>
      <c r="F49" s="3">
        <v>1465</v>
      </c>
      <c r="G49" s="3">
        <v>5.19</v>
      </c>
      <c r="H49" s="3">
        <v>5.65</v>
      </c>
      <c r="I49" s="3">
        <v>1.0</v>
      </c>
      <c r="J49" s="3">
        <v>120.0</v>
      </c>
      <c r="K49" s="3">
        <v>119.0</v>
      </c>
      <c r="L49" s="0" t="inlineStr">
        <is>
          <t>M1 faster</t>
        </is>
      </c>
    </row>
    <row r="50">
      <c r="A50" s="0" t="inlineStr">
        <is>
          <t>S03_Branching_Corridors</t>
        </is>
      </c>
      <c r="B50" s="0" t="inlineStr">
        <is>
          <t>S03_G05_C</t>
        </is>
      </c>
      <c r="C50" s="0" t="inlineStr">
        <is>
          <t>S03</t>
        </is>
      </c>
      <c r="D50" s="0" t="inlineStr">
        <is>
          <t>S03_G05</t>
        </is>
      </c>
      <c r="E50" s="0" t="inlineStr">
        <is>
          <t>C</t>
        </is>
      </c>
      <c r="F50" s="3">
        <v>1605</v>
      </c>
      <c r="G50" s="3">
        <v>57.27</v>
      </c>
      <c r="H50" s="3">
        <v>70.84</v>
      </c>
      <c r="I50" s="3">
        <v>285.0</v>
      </c>
      <c r="J50" s="3">
        <v>513.0</v>
      </c>
      <c r="K50" s="3">
        <v>228.0</v>
      </c>
      <c r="L50" s="0" t="inlineStr">
        <is>
          <t>M1 faster</t>
        </is>
      </c>
    </row>
    <row r="51">
      <c r="A51" s="0" t="inlineStr">
        <is>
          <t>S03_Branching_Corridors</t>
        </is>
      </c>
      <c r="B51" s="0" t="inlineStr">
        <is>
          <t>S03_G05_D</t>
        </is>
      </c>
      <c r="C51" s="0" t="inlineStr">
        <is>
          <t>S03</t>
        </is>
      </c>
      <c r="D51" s="0" t="inlineStr">
        <is>
          <t>S03_G05</t>
        </is>
      </c>
      <c r="E51" s="0" t="inlineStr">
        <is>
          <t>D</t>
        </is>
      </c>
      <c r="F51" s="3">
        <v>1605</v>
      </c>
      <c r="G51" s="3">
        <v>23.43</v>
      </c>
      <c r="H51" s="3">
        <v>25.36</v>
      </c>
      <c r="I51" s="3">
        <v>73.0</v>
      </c>
      <c r="J51" s="3">
        <v>305.0</v>
      </c>
      <c r="K51" s="3">
        <v>232.0</v>
      </c>
      <c r="L51" s="0" t="inlineStr">
        <is>
          <t>M1 faster</t>
        </is>
      </c>
    </row>
    <row r="52">
      <c r="A52" s="0" t="inlineStr">
        <is>
          <t>S03_Branching_Corridors</t>
        </is>
      </c>
      <c r="B52" s="0" t="inlineStr">
        <is>
          <t>S03_G06_C</t>
        </is>
      </c>
      <c r="C52" s="0" t="inlineStr">
        <is>
          <t>S03</t>
        </is>
      </c>
      <c r="D52" s="0" t="inlineStr">
        <is>
          <t>S03_G06</t>
        </is>
      </c>
      <c r="E52" s="0" t="inlineStr">
        <is>
          <t>C</t>
        </is>
      </c>
      <c r="F52" s="3">
        <v>1570</v>
      </c>
      <c r="G52" s="3">
        <v>47.91</v>
      </c>
      <c r="H52" s="3">
        <v>63.8</v>
      </c>
      <c r="I52" s="3">
        <v>237.0</v>
      </c>
      <c r="J52" s="3">
        <v>509.0</v>
      </c>
      <c r="K52" s="3">
        <v>272.0</v>
      </c>
      <c r="L52" s="0" t="inlineStr">
        <is>
          <t>M1 faster</t>
        </is>
      </c>
    </row>
    <row r="53">
      <c r="A53" s="0" t="inlineStr">
        <is>
          <t>S03_Branching_Corridors</t>
        </is>
      </c>
      <c r="B53" s="0" t="inlineStr">
        <is>
          <t>S03_G06_D</t>
        </is>
      </c>
      <c r="C53" s="0" t="inlineStr">
        <is>
          <t>S03</t>
        </is>
      </c>
      <c r="D53" s="0" t="inlineStr">
        <is>
          <t>S03_G06</t>
        </is>
      </c>
      <c r="E53" s="0" t="inlineStr">
        <is>
          <t>D</t>
        </is>
      </c>
      <c r="F53" s="3">
        <v>1570</v>
      </c>
      <c r="G53" s="3">
        <v>4.44</v>
      </c>
      <c r="H53" s="3">
        <v>12.8</v>
      </c>
      <c r="I53" s="3">
        <v>2.0</v>
      </c>
      <c r="J53" s="3">
        <v>212.0</v>
      </c>
      <c r="K53" s="3">
        <v>210.0</v>
      </c>
      <c r="L53" s="0" t="inlineStr">
        <is>
          <t>M1 faster</t>
        </is>
      </c>
    </row>
    <row r="54">
      <c r="A54" s="0" t="inlineStr">
        <is>
          <t>S03_Branching_Corridors</t>
        </is>
      </c>
      <c r="B54" s="0" t="inlineStr">
        <is>
          <t>S03_G07_C</t>
        </is>
      </c>
      <c r="C54" s="0" t="inlineStr">
        <is>
          <t>S03</t>
        </is>
      </c>
      <c r="D54" s="0" t="inlineStr">
        <is>
          <t>S03_G07</t>
        </is>
      </c>
      <c r="E54" s="0" t="inlineStr">
        <is>
          <t>C</t>
        </is>
      </c>
      <c r="F54" s="3">
        <v>1570</v>
      </c>
      <c r="G54" s="3">
        <v>54.76</v>
      </c>
      <c r="H54" s="3">
        <v>73.79</v>
      </c>
      <c r="I54" s="3">
        <v>332.0</v>
      </c>
      <c r="J54" s="3">
        <v>597.0</v>
      </c>
      <c r="K54" s="3">
        <v>265.0</v>
      </c>
      <c r="L54" s="0" t="inlineStr">
        <is>
          <t>M1 faster</t>
        </is>
      </c>
    </row>
    <row r="55">
      <c r="A55" s="0" t="inlineStr">
        <is>
          <t>S03_Branching_Corridors</t>
        </is>
      </c>
      <c r="B55" s="0" t="inlineStr">
        <is>
          <t>S03_G07_D</t>
        </is>
      </c>
      <c r="C55" s="0" t="inlineStr">
        <is>
          <t>S03</t>
        </is>
      </c>
      <c r="D55" s="0" t="inlineStr">
        <is>
          <t>S03_G07</t>
        </is>
      </c>
      <c r="E55" s="0" t="inlineStr">
        <is>
          <t>D</t>
        </is>
      </c>
      <c r="F55" s="3">
        <v>1570</v>
      </c>
      <c r="G55" s="3">
        <v>-2.22</v>
      </c>
      <c r="H55" s="3">
        <v>-4.56</v>
      </c>
      <c r="I55" s="3">
        <v>-79.0</v>
      </c>
      <c r="J55" s="3">
        <v>266.0</v>
      </c>
      <c r="K55" s="3">
        <v>345.0</v>
      </c>
      <c r="L55" s="0" t="inlineStr">
        <is>
          <t>M0 faster</t>
        </is>
      </c>
    </row>
    <row r="56">
      <c r="A56" s="0" t="inlineStr">
        <is>
          <t>S03_Branching_Corridors</t>
        </is>
      </c>
      <c r="B56" s="0" t="inlineStr">
        <is>
          <t>S03_G08_C</t>
        </is>
      </c>
      <c r="C56" s="0" t="inlineStr">
        <is>
          <t>S03</t>
        </is>
      </c>
      <c r="D56" s="0" t="inlineStr">
        <is>
          <t>S03_G08</t>
        </is>
      </c>
      <c r="E56" s="0" t="inlineStr">
        <is>
          <t>C</t>
        </is>
      </c>
      <c r="F56" s="3">
        <v>1570</v>
      </c>
      <c r="G56" s="3">
        <v>41.88</v>
      </c>
      <c r="H56" s="3">
        <v>54.38</v>
      </c>
      <c r="I56" s="3">
        <v>241.0</v>
      </c>
      <c r="J56" s="3">
        <v>499.0</v>
      </c>
      <c r="K56" s="3">
        <v>258.0</v>
      </c>
      <c r="L56" s="0" t="inlineStr">
        <is>
          <t>M1 faster</t>
        </is>
      </c>
    </row>
    <row r="57">
      <c r="A57" s="0" t="inlineStr">
        <is>
          <t>S03_Branching_Corridors</t>
        </is>
      </c>
      <c r="B57" s="0" t="inlineStr">
        <is>
          <t>S03_G08_D</t>
        </is>
      </c>
      <c r="C57" s="0" t="inlineStr">
        <is>
          <t>S03</t>
        </is>
      </c>
      <c r="D57" s="0" t="inlineStr">
        <is>
          <t>S03_G08</t>
        </is>
      </c>
      <c r="E57" s="0" t="inlineStr">
        <is>
          <t>D</t>
        </is>
      </c>
      <c r="F57" s="3">
        <v>1570</v>
      </c>
      <c r="G57" s="3">
        <v>42.35</v>
      </c>
      <c r="H57" s="3">
        <v>51.42</v>
      </c>
      <c r="I57" s="3">
        <v>181.0</v>
      </c>
      <c r="J57" s="3">
        <v>338.0</v>
      </c>
      <c r="K57" s="3">
        <v>157.0</v>
      </c>
      <c r="L57" s="0" t="inlineStr">
        <is>
          <t>M1 faster</t>
        </is>
      </c>
    </row>
    <row r="58">
      <c r="A58" s="0" t="inlineStr">
        <is>
          <t>S03_Branching_Corridors</t>
        </is>
      </c>
      <c r="B58" s="0" t="inlineStr">
        <is>
          <t>S03_G09_C</t>
        </is>
      </c>
      <c r="C58" s="0" t="inlineStr">
        <is>
          <t>S03</t>
        </is>
      </c>
      <c r="D58" s="0" t="inlineStr">
        <is>
          <t>S03_G09</t>
        </is>
      </c>
      <c r="E58" s="0" t="inlineStr">
        <is>
          <t>C</t>
        </is>
      </c>
      <c r="F58" s="3">
        <v>1500</v>
      </c>
      <c r="G58" s="3">
        <v>50.29</v>
      </c>
      <c r="H58" s="3">
        <v>59.6</v>
      </c>
      <c r="I58" s="3">
        <v>220.0</v>
      </c>
      <c r="J58" s="3">
        <v>471.0</v>
      </c>
      <c r="K58" s="3">
        <v>251.0</v>
      </c>
      <c r="L58" s="0" t="inlineStr">
        <is>
          <t>M1 faster</t>
        </is>
      </c>
    </row>
    <row r="59">
      <c r="A59" s="0" t="inlineStr">
        <is>
          <t>S03_Branching_Corridors</t>
        </is>
      </c>
      <c r="B59" s="0" t="inlineStr">
        <is>
          <t>S03_G09_D</t>
        </is>
      </c>
      <c r="C59" s="0" t="inlineStr">
        <is>
          <t>S03</t>
        </is>
      </c>
      <c r="D59" s="0" t="inlineStr">
        <is>
          <t>S03_G09</t>
        </is>
      </c>
      <c r="E59" s="0" t="inlineStr">
        <is>
          <t>D</t>
        </is>
      </c>
      <c r="F59" s="3">
        <v>1500</v>
      </c>
      <c r="G59" s="3">
        <v>13.01</v>
      </c>
      <c r="H59" s="3">
        <v>18.18</v>
      </c>
      <c r="I59" s="3">
        <v>-17.0</v>
      </c>
      <c r="J59" s="3">
        <v>292.0</v>
      </c>
      <c r="K59" s="3">
        <v>309.0</v>
      </c>
      <c r="L59" s="0" t="inlineStr">
        <is>
          <t>M0 faster</t>
        </is>
      </c>
    </row>
    <row r="60">
      <c r="A60" s="0" t="inlineStr">
        <is>
          <t>S03_Branching_Corridors</t>
        </is>
      </c>
      <c r="B60" s="0" t="inlineStr">
        <is>
          <t>S03_G10_C</t>
        </is>
      </c>
      <c r="C60" s="0" t="inlineStr">
        <is>
          <t>S03</t>
        </is>
      </c>
      <c r="D60" s="0" t="inlineStr">
        <is>
          <t>S03_G10</t>
        </is>
      </c>
      <c r="E60" s="0" t="inlineStr">
        <is>
          <t>C</t>
        </is>
      </c>
      <c r="F60" s="3">
        <v>1535</v>
      </c>
      <c r="G60" s="3">
        <v>35.04</v>
      </c>
      <c r="H60" s="3">
        <v>65.28</v>
      </c>
      <c r="I60" s="3">
        <v>70.0</v>
      </c>
      <c r="J60" s="3">
        <v>390.0</v>
      </c>
      <c r="K60" s="3">
        <v>320.0</v>
      </c>
      <c r="L60" s="0" t="inlineStr">
        <is>
          <t>M1 faster</t>
        </is>
      </c>
    </row>
    <row r="61">
      <c r="A61" s="0" t="inlineStr">
        <is>
          <t>S03_Branching_Corridors</t>
        </is>
      </c>
      <c r="B61" s="0" t="inlineStr">
        <is>
          <t>S03_G10_D</t>
        </is>
      </c>
      <c r="C61" s="0" t="inlineStr">
        <is>
          <t>S03</t>
        </is>
      </c>
      <c r="D61" s="0" t="inlineStr">
        <is>
          <t>S03_G10</t>
        </is>
      </c>
      <c r="E61" s="0" t="inlineStr">
        <is>
          <t>D</t>
        </is>
      </c>
      <c r="F61" s="3">
        <v>1535</v>
      </c>
      <c r="G61" s="3">
        <v>19.08</v>
      </c>
      <c r="H61" s="3">
        <v>26.88</v>
      </c>
      <c r="I61" s="3">
        <v>92.0</v>
      </c>
      <c r="J61" s="3">
        <v>394.0</v>
      </c>
      <c r="K61" s="3">
        <v>302.0</v>
      </c>
      <c r="L61" s="0" t="inlineStr">
        <is>
          <t>M1 faster</t>
        </is>
      </c>
    </row>
    <row r="62">
      <c r="A62" s="0" t="inlineStr">
        <is>
          <t>S04_Serpentine</t>
        </is>
      </c>
      <c r="B62" s="0" t="inlineStr">
        <is>
          <t>S04_G01_C</t>
        </is>
      </c>
      <c r="C62" s="0" t="inlineStr">
        <is>
          <t>S04</t>
        </is>
      </c>
      <c r="D62" s="0" t="inlineStr">
        <is>
          <t>S04_G01</t>
        </is>
      </c>
      <c r="E62" s="0" t="inlineStr">
        <is>
          <t>C</t>
        </is>
      </c>
      <c r="F62" s="3">
        <v>1440</v>
      </c>
      <c r="G62" s="3">
        <v>28.37</v>
      </c>
      <c r="H62" s="3">
        <v>36.09</v>
      </c>
      <c r="I62" s="3">
        <v>3.0</v>
      </c>
      <c r="J62" s="3">
        <v>219.0</v>
      </c>
      <c r="K62" s="3">
        <v>216.0</v>
      </c>
      <c r="L62" s="0" t="inlineStr">
        <is>
          <t>M1 faster</t>
        </is>
      </c>
    </row>
    <row r="63">
      <c r="A63" s="0" t="inlineStr">
        <is>
          <t>S04_Serpentine</t>
        </is>
      </c>
      <c r="B63" s="0" t="inlineStr">
        <is>
          <t>S04_G01_D</t>
        </is>
      </c>
      <c r="C63" s="0" t="inlineStr">
        <is>
          <t>S04</t>
        </is>
      </c>
      <c r="D63" s="0" t="inlineStr">
        <is>
          <t>S04_G01</t>
        </is>
      </c>
      <c r="E63" s="0" t="inlineStr">
        <is>
          <t>D</t>
        </is>
      </c>
      <c r="F63" s="3">
        <v>1440</v>
      </c>
      <c r="G63" s="3">
        <v>8.71</v>
      </c>
      <c r="H63" s="3">
        <v>7.86</v>
      </c>
      <c r="I63" s="3">
        <v>-73.0</v>
      </c>
      <c r="J63" s="3">
        <v>122.0</v>
      </c>
      <c r="K63" s="3">
        <v>195.0</v>
      </c>
      <c r="L63" s="0" t="inlineStr">
        <is>
          <t>M0 faster</t>
        </is>
      </c>
    </row>
    <row r="64">
      <c r="A64" s="0" t="inlineStr">
        <is>
          <t>S04_Serpentine</t>
        </is>
      </c>
      <c r="B64" s="0" t="inlineStr">
        <is>
          <t>S04_G02_C</t>
        </is>
      </c>
      <c r="C64" s="0" t="inlineStr">
        <is>
          <t>S04</t>
        </is>
      </c>
      <c r="D64" s="0" t="inlineStr">
        <is>
          <t>S04_G02</t>
        </is>
      </c>
      <c r="E64" s="0" t="inlineStr">
        <is>
          <t>C</t>
        </is>
      </c>
      <c r="F64" s="3">
        <v>1690</v>
      </c>
      <c r="G64" s="3">
        <v>22.02</v>
      </c>
      <c r="H64" s="3">
        <v>35.24</v>
      </c>
      <c r="I64" s="3">
        <v>23.0</v>
      </c>
      <c r="J64" s="3">
        <v>224.0</v>
      </c>
      <c r="K64" s="3">
        <v>201.0</v>
      </c>
      <c r="L64" s="0" t="inlineStr">
        <is>
          <t>M1 faster</t>
        </is>
      </c>
    </row>
    <row r="65">
      <c r="A65" s="0" t="inlineStr">
        <is>
          <t>S04_Serpentine</t>
        </is>
      </c>
      <c r="B65" s="0" t="inlineStr">
        <is>
          <t>S04_G02_D</t>
        </is>
      </c>
      <c r="C65" s="0" t="inlineStr">
        <is>
          <t>S04</t>
        </is>
      </c>
      <c r="D65" s="0" t="inlineStr">
        <is>
          <t>S04_G02</t>
        </is>
      </c>
      <c r="E65" s="0" t="inlineStr">
        <is>
          <t>D</t>
        </is>
      </c>
      <c r="F65" s="3">
        <v>1690</v>
      </c>
      <c r="G65" s="3">
        <v>-0.93</v>
      </c>
      <c r="H65" s="3">
        <v>-3.95</v>
      </c>
      <c r="I65" s="3">
        <v>-101.0</v>
      </c>
      <c r="J65" s="3">
        <v>291.0</v>
      </c>
      <c r="K65" s="3">
        <v>392.0</v>
      </c>
      <c r="L65" s="0" t="inlineStr">
        <is>
          <t>M0 faster</t>
        </is>
      </c>
    </row>
    <row r="66">
      <c r="A66" s="0" t="inlineStr">
        <is>
          <t>S04_Serpentine</t>
        </is>
      </c>
      <c r="B66" s="0" t="inlineStr">
        <is>
          <t>S04_G03_C</t>
        </is>
      </c>
      <c r="C66" s="0" t="inlineStr">
        <is>
          <t>S04</t>
        </is>
      </c>
      <c r="D66" s="0" t="inlineStr">
        <is>
          <t>S04_G03</t>
        </is>
      </c>
      <c r="E66" s="0" t="inlineStr">
        <is>
          <t>C</t>
        </is>
      </c>
      <c r="F66" s="3">
        <v>1614</v>
      </c>
      <c r="G66" s="3">
        <v>60.57</v>
      </c>
      <c r="H66" s="3">
        <v>72.81</v>
      </c>
      <c r="I66" s="3">
        <v>370.0</v>
      </c>
      <c r="J66" s="3">
        <v>546.0</v>
      </c>
      <c r="K66" s="3">
        <v>176.0</v>
      </c>
      <c r="L66" s="0" t="inlineStr">
        <is>
          <t>M1 faster</t>
        </is>
      </c>
    </row>
    <row r="67">
      <c r="A67" s="0" t="inlineStr">
        <is>
          <t>S04_Serpentine</t>
        </is>
      </c>
      <c r="B67" s="0" t="inlineStr">
        <is>
          <t>S04_G03_D</t>
        </is>
      </c>
      <c r="C67" s="0" t="inlineStr">
        <is>
          <t>S04</t>
        </is>
      </c>
      <c r="D67" s="0" t="inlineStr">
        <is>
          <t>S04_G03</t>
        </is>
      </c>
      <c r="E67" s="0" t="inlineStr">
        <is>
          <t>D</t>
        </is>
      </c>
      <c r="F67" s="3">
        <v>1614</v>
      </c>
      <c r="G67" s="3">
        <v>33.84</v>
      </c>
      <c r="H67" s="3">
        <v>47.13</v>
      </c>
      <c r="I67" s="3">
        <v>219.0</v>
      </c>
      <c r="J67" s="3">
        <v>416.0</v>
      </c>
      <c r="K67" s="3">
        <v>197.0</v>
      </c>
      <c r="L67" s="0" t="inlineStr">
        <is>
          <t>M1 faster</t>
        </is>
      </c>
    </row>
    <row r="68">
      <c r="A68" s="0" t="inlineStr">
        <is>
          <t>S04_Serpentine</t>
        </is>
      </c>
      <c r="B68" s="0" t="inlineStr">
        <is>
          <t>S04_G04_C</t>
        </is>
      </c>
      <c r="C68" s="0" t="inlineStr">
        <is>
          <t>S04</t>
        </is>
      </c>
      <c r="D68" s="0" t="inlineStr">
        <is>
          <t>S04_G04</t>
        </is>
      </c>
      <c r="E68" s="0" t="inlineStr">
        <is>
          <t>C</t>
        </is>
      </c>
      <c r="F68" s="3">
        <v>1720</v>
      </c>
      <c r="G68" s="3">
        <v>51.36</v>
      </c>
      <c r="H68" s="3">
        <v>80.75</v>
      </c>
      <c r="I68" s="3">
        <v>345.0</v>
      </c>
      <c r="J68" s="3">
        <v>638.0</v>
      </c>
      <c r="K68" s="3">
        <v>293.0</v>
      </c>
      <c r="L68" s="0" t="inlineStr">
        <is>
          <t>M1 faster</t>
        </is>
      </c>
    </row>
    <row r="69">
      <c r="A69" s="0" t="inlineStr">
        <is>
          <t>S04_Serpentine</t>
        </is>
      </c>
      <c r="B69" s="0" t="inlineStr">
        <is>
          <t>S04_G04_D</t>
        </is>
      </c>
      <c r="C69" s="0" t="inlineStr">
        <is>
          <t>S04</t>
        </is>
      </c>
      <c r="D69" s="0" t="inlineStr">
        <is>
          <t>S04_G04</t>
        </is>
      </c>
      <c r="E69" s="0" t="inlineStr">
        <is>
          <t>D</t>
        </is>
      </c>
      <c r="F69" s="3">
        <v>1720</v>
      </c>
      <c r="G69" s="3">
        <v>-0.88</v>
      </c>
      <c r="H69" s="3">
        <v>-3.89</v>
      </c>
      <c r="I69" s="3">
        <v>-105.0</v>
      </c>
      <c r="J69" s="3">
        <v>296.0</v>
      </c>
      <c r="K69" s="3">
        <v>401.0</v>
      </c>
      <c r="L69" s="0" t="inlineStr">
        <is>
          <t>M0 faster</t>
        </is>
      </c>
    </row>
    <row r="70">
      <c r="A70" s="0" t="inlineStr">
        <is>
          <t>S04_Serpentine</t>
        </is>
      </c>
      <c r="B70" s="0" t="inlineStr">
        <is>
          <t>S04_G05_C</t>
        </is>
      </c>
      <c r="C70" s="0" t="inlineStr">
        <is>
          <t>S04</t>
        </is>
      </c>
      <c r="D70" s="0" t="inlineStr">
        <is>
          <t>S04_G05</t>
        </is>
      </c>
      <c r="E70" s="0" t="inlineStr">
        <is>
          <t>C</t>
        </is>
      </c>
      <c r="F70" s="3">
        <v>1515</v>
      </c>
      <c r="G70" s="3">
        <v>35.1</v>
      </c>
      <c r="H70" s="3">
        <v>59.27</v>
      </c>
      <c r="I70" s="3">
        <v>174.0</v>
      </c>
      <c r="J70" s="3">
        <v>554.0</v>
      </c>
      <c r="K70" s="3">
        <v>380.0</v>
      </c>
      <c r="L70" s="0" t="inlineStr">
        <is>
          <t>M1 faster</t>
        </is>
      </c>
    </row>
    <row r="71">
      <c r="A71" s="0" t="inlineStr">
        <is>
          <t>S04_Serpentine</t>
        </is>
      </c>
      <c r="B71" s="0" t="inlineStr">
        <is>
          <t>S04_G05_D</t>
        </is>
      </c>
      <c r="C71" s="0" t="inlineStr">
        <is>
          <t>S04</t>
        </is>
      </c>
      <c r="D71" s="0" t="inlineStr">
        <is>
          <t>S04_G05</t>
        </is>
      </c>
      <c r="E71" s="0" t="inlineStr">
        <is>
          <t>D</t>
        </is>
      </c>
      <c r="F71" s="3">
        <v>1515</v>
      </c>
      <c r="G71" s="3">
        <v>8.72</v>
      </c>
      <c r="H71" s="3">
        <v>10.06</v>
      </c>
      <c r="I71" s="3">
        <v>0.0</v>
      </c>
      <c r="J71" s="3">
        <v>128.0</v>
      </c>
      <c r="K71" s="3">
        <v>128.0</v>
      </c>
      <c r="L71" s="0" t="inlineStr">
        <is>
          <t>Tie</t>
        </is>
      </c>
    </row>
    <row r="72">
      <c r="A72" s="0" t="inlineStr">
        <is>
          <t>S04_Serpentine</t>
        </is>
      </c>
      <c r="B72" s="0" t="inlineStr">
        <is>
          <t>S04_G06_C</t>
        </is>
      </c>
      <c r="C72" s="0" t="inlineStr">
        <is>
          <t>S04</t>
        </is>
      </c>
      <c r="D72" s="0" t="inlineStr">
        <is>
          <t>S04_G06</t>
        </is>
      </c>
      <c r="E72" s="0" t="inlineStr">
        <is>
          <t>C</t>
        </is>
      </c>
      <c r="F72" s="3">
        <v>1926</v>
      </c>
      <c r="G72" s="3">
        <v>24.48</v>
      </c>
      <c r="H72" s="3">
        <v>46.49</v>
      </c>
      <c r="I72" s="3">
        <v>74.0</v>
      </c>
      <c r="J72" s="3">
        <v>606.0</v>
      </c>
      <c r="K72" s="3">
        <v>532.0</v>
      </c>
      <c r="L72" s="0" t="inlineStr">
        <is>
          <t>M1 faster</t>
        </is>
      </c>
    </row>
    <row r="73">
      <c r="A73" s="0" t="inlineStr">
        <is>
          <t>S04_Serpentine</t>
        </is>
      </c>
      <c r="B73" s="0" t="inlineStr">
        <is>
          <t>S04_G06_D</t>
        </is>
      </c>
      <c r="C73" s="0" t="inlineStr">
        <is>
          <t>S04</t>
        </is>
      </c>
      <c r="D73" s="0" t="inlineStr">
        <is>
          <t>S04_G06</t>
        </is>
      </c>
      <c r="E73" s="0" t="inlineStr">
        <is>
          <t>D</t>
        </is>
      </c>
      <c r="F73" s="3">
        <v>1926</v>
      </c>
      <c r="G73" s="3">
        <v>43.65</v>
      </c>
      <c r="H73" s="3">
        <v>57.0</v>
      </c>
      <c r="I73" s="3">
        <v>303.0</v>
      </c>
      <c r="J73" s="3">
        <v>571.0</v>
      </c>
      <c r="K73" s="3">
        <v>268.0</v>
      </c>
      <c r="L73" s="0" t="inlineStr">
        <is>
          <t>M1 faster</t>
        </is>
      </c>
    </row>
    <row r="74">
      <c r="A74" s="0" t="inlineStr">
        <is>
          <t>S04_Serpentine</t>
        </is>
      </c>
      <c r="B74" s="0" t="inlineStr">
        <is>
          <t>S04_G07_C</t>
        </is>
      </c>
      <c r="C74" s="0" t="inlineStr">
        <is>
          <t>S04</t>
        </is>
      </c>
      <c r="D74" s="0" t="inlineStr">
        <is>
          <t>S04_G07</t>
        </is>
      </c>
      <c r="E74" s="0" t="inlineStr">
        <is>
          <t>C</t>
        </is>
      </c>
      <c r="F74" s="3">
        <v>1440</v>
      </c>
      <c r="G74" s="3">
        <v>29.7</v>
      </c>
      <c r="H74" s="3">
        <v>58.94</v>
      </c>
      <c r="I74" s="3">
        <v>20.0</v>
      </c>
      <c r="J74" s="3">
        <v>370.0</v>
      </c>
      <c r="K74" s="3">
        <v>350.0</v>
      </c>
      <c r="L74" s="0" t="inlineStr">
        <is>
          <t>M1 faster</t>
        </is>
      </c>
    </row>
    <row r="75">
      <c r="A75" s="0" t="inlineStr">
        <is>
          <t>S04_Serpentine</t>
        </is>
      </c>
      <c r="B75" s="0" t="inlineStr">
        <is>
          <t>S04_G07_D</t>
        </is>
      </c>
      <c r="C75" s="0" t="inlineStr">
        <is>
          <t>S04</t>
        </is>
      </c>
      <c r="D75" s="0" t="inlineStr">
        <is>
          <t>S04_G07</t>
        </is>
      </c>
      <c r="E75" s="0" t="inlineStr">
        <is>
          <t>D</t>
        </is>
      </c>
      <c r="F75" s="3">
        <v>1440</v>
      </c>
      <c r="G75" s="3">
        <v>8.74</v>
      </c>
      <c r="H75" s="3">
        <v>10.12</v>
      </c>
      <c r="I75" s="3">
        <v>0.0</v>
      </c>
      <c r="J75" s="3">
        <v>122.0</v>
      </c>
      <c r="K75" s="3">
        <v>122.0</v>
      </c>
      <c r="L75" s="0" t="inlineStr">
        <is>
          <t>Tie</t>
        </is>
      </c>
    </row>
    <row r="76">
      <c r="A76" s="0" t="inlineStr">
        <is>
          <t>S04_Serpentine</t>
        </is>
      </c>
      <c r="B76" s="0" t="inlineStr">
        <is>
          <t>S04_G08_C</t>
        </is>
      </c>
      <c r="C76" s="0" t="inlineStr">
        <is>
          <t>S04</t>
        </is>
      </c>
      <c r="D76" s="0" t="inlineStr">
        <is>
          <t>S04_G08</t>
        </is>
      </c>
      <c r="E76" s="0" t="inlineStr">
        <is>
          <t>C</t>
        </is>
      </c>
      <c r="F76" s="3">
        <v>1660</v>
      </c>
      <c r="G76" s="3">
        <v>27.08</v>
      </c>
      <c r="H76" s="3">
        <v>40.46</v>
      </c>
      <c r="I76" s="3">
        <v>51.0</v>
      </c>
      <c r="J76" s="3">
        <v>234.0</v>
      </c>
      <c r="K76" s="3">
        <v>183.0</v>
      </c>
      <c r="L76" s="0" t="inlineStr">
        <is>
          <t>M1 faster</t>
        </is>
      </c>
    </row>
    <row r="77">
      <c r="A77" s="0" t="inlineStr">
        <is>
          <t>S04_Serpentine</t>
        </is>
      </c>
      <c r="B77" s="0" t="inlineStr">
        <is>
          <t>S04_G08_D</t>
        </is>
      </c>
      <c r="C77" s="0" t="inlineStr">
        <is>
          <t>S04</t>
        </is>
      </c>
      <c r="D77" s="0" t="inlineStr">
        <is>
          <t>S04_G08</t>
        </is>
      </c>
      <c r="E77" s="0" t="inlineStr">
        <is>
          <t>D</t>
        </is>
      </c>
      <c r="F77" s="3">
        <v>1660</v>
      </c>
      <c r="G77" s="3">
        <v>-0.81</v>
      </c>
      <c r="H77" s="3">
        <v>-3.8</v>
      </c>
      <c r="I77" s="3">
        <v>-101.0</v>
      </c>
      <c r="J77" s="3">
        <v>286.0</v>
      </c>
      <c r="K77" s="3">
        <v>387.0</v>
      </c>
      <c r="L77" s="0" t="inlineStr">
        <is>
          <t>M0 faster</t>
        </is>
      </c>
    </row>
    <row r="78">
      <c r="A78" s="0" t="inlineStr">
        <is>
          <t>S04_Serpentine</t>
        </is>
      </c>
      <c r="B78" s="0" t="inlineStr">
        <is>
          <t>S04_G09_C</t>
        </is>
      </c>
      <c r="C78" s="0" t="inlineStr">
        <is>
          <t>S04</t>
        </is>
      </c>
      <c r="D78" s="0" t="inlineStr">
        <is>
          <t>S04_G09</t>
        </is>
      </c>
      <c r="E78" s="0" t="inlineStr">
        <is>
          <t>C</t>
        </is>
      </c>
      <c r="F78" s="3">
        <v>1734</v>
      </c>
      <c r="G78" s="3">
        <v>29.25</v>
      </c>
      <c r="H78" s="3">
        <v>48.94</v>
      </c>
      <c r="I78" s="3">
        <v>178.0</v>
      </c>
      <c r="J78" s="3">
        <v>593.0</v>
      </c>
      <c r="K78" s="3">
        <v>415.0</v>
      </c>
      <c r="L78" s="0" t="inlineStr">
        <is>
          <t>M1 faster</t>
        </is>
      </c>
    </row>
    <row r="79">
      <c r="A79" s="0" t="inlineStr">
        <is>
          <t>S04_Serpentine</t>
        </is>
      </c>
      <c r="B79" s="0" t="inlineStr">
        <is>
          <t>S04_G09_D</t>
        </is>
      </c>
      <c r="C79" s="0" t="inlineStr">
        <is>
          <t>S04</t>
        </is>
      </c>
      <c r="D79" s="0" t="inlineStr">
        <is>
          <t>S04_G09</t>
        </is>
      </c>
      <c r="E79" s="0" t="inlineStr">
        <is>
          <t>D</t>
        </is>
      </c>
      <c r="F79" s="3">
        <v>1734</v>
      </c>
      <c r="G79" s="3">
        <v>28.31</v>
      </c>
      <c r="H79" s="3">
        <v>39.71</v>
      </c>
      <c r="I79" s="3">
        <v>237.0</v>
      </c>
      <c r="J79" s="3">
        <v>450.0</v>
      </c>
      <c r="K79" s="3">
        <v>213.0</v>
      </c>
      <c r="L79" s="0" t="inlineStr">
        <is>
          <t>M1 faster</t>
        </is>
      </c>
    </row>
    <row r="80">
      <c r="A80" s="0" t="inlineStr">
        <is>
          <t>S04_Serpentine</t>
        </is>
      </c>
      <c r="B80" s="0" t="inlineStr">
        <is>
          <t>S04_G10_C</t>
        </is>
      </c>
      <c r="C80" s="0" t="inlineStr">
        <is>
          <t>S04</t>
        </is>
      </c>
      <c r="D80" s="0" t="inlineStr">
        <is>
          <t>S04_G10</t>
        </is>
      </c>
      <c r="E80" s="0" t="inlineStr">
        <is>
          <t>C</t>
        </is>
      </c>
      <c r="F80" s="3">
        <v>1720</v>
      </c>
      <c r="G80" s="3">
        <v>33.22</v>
      </c>
      <c r="H80" s="3">
        <v>62.9</v>
      </c>
      <c r="I80" s="3">
        <v>18.0</v>
      </c>
      <c r="J80" s="3">
        <v>464.0</v>
      </c>
      <c r="K80" s="3">
        <v>446.0</v>
      </c>
      <c r="L80" s="0" t="inlineStr">
        <is>
          <t>M1 faster</t>
        </is>
      </c>
    </row>
    <row r="81">
      <c r="A81" s="0" t="inlineStr">
        <is>
          <t>S04_Serpentine</t>
        </is>
      </c>
      <c r="B81" s="0" t="inlineStr">
        <is>
          <t>S04_G10_D</t>
        </is>
      </c>
      <c r="C81" s="0" t="inlineStr">
        <is>
          <t>S04</t>
        </is>
      </c>
      <c r="D81" s="0" t="inlineStr">
        <is>
          <t>S04_G10</t>
        </is>
      </c>
      <c r="E81" s="0" t="inlineStr">
        <is>
          <t>D</t>
        </is>
      </c>
      <c r="F81" s="3">
        <v>1720</v>
      </c>
      <c r="G81" s="3">
        <v>-0.89</v>
      </c>
      <c r="H81" s="3">
        <v>-3.92</v>
      </c>
      <c r="I81" s="3">
        <v>-103.0</v>
      </c>
      <c r="J81" s="3">
        <v>296.0</v>
      </c>
      <c r="K81" s="3">
        <v>399.0</v>
      </c>
      <c r="L81" s="0" t="inlineStr">
        <is>
          <t>M0 faster</t>
        </is>
      </c>
    </row>
    <row r="82">
      <c r="A82" s="0" t="inlineStr">
        <is>
          <t>S05_Bottleneck</t>
        </is>
      </c>
      <c r="B82" s="0" t="inlineStr">
        <is>
          <t>S05_G01_C</t>
        </is>
      </c>
      <c r="C82" s="0" t="inlineStr">
        <is>
          <t>S05</t>
        </is>
      </c>
      <c r="D82" s="0" t="inlineStr">
        <is>
          <t>S05_G01</t>
        </is>
      </c>
      <c r="E82" s="0" t="inlineStr">
        <is>
          <t>C</t>
        </is>
      </c>
      <c r="F82" s="3">
        <v>3834</v>
      </c>
      <c r="G82" s="3">
        <v>64.16</v>
      </c>
      <c r="H82" s="3">
        <v>91.97</v>
      </c>
      <c r="I82" s="3">
        <v>370.0</v>
      </c>
      <c r="J82" s="3">
        <v>762.0</v>
      </c>
      <c r="K82" s="3">
        <v>392.0</v>
      </c>
      <c r="L82" s="0" t="inlineStr">
        <is>
          <t>M1 faster</t>
        </is>
      </c>
    </row>
    <row r="83">
      <c r="A83" s="0" t="inlineStr">
        <is>
          <t>S05_Bottleneck</t>
        </is>
      </c>
      <c r="B83" s="0" t="inlineStr">
        <is>
          <t>S05_G01_D</t>
        </is>
      </c>
      <c r="C83" s="0" t="inlineStr">
        <is>
          <t>S05</t>
        </is>
      </c>
      <c r="D83" s="0" t="inlineStr">
        <is>
          <t>S05_G01</t>
        </is>
      </c>
      <c r="E83" s="0" t="inlineStr">
        <is>
          <t>D</t>
        </is>
      </c>
      <c r="F83" s="3">
        <v>3834</v>
      </c>
      <c r="G83" s="3">
        <v>17.39</v>
      </c>
      <c r="H83" s="3">
        <v>17.87</v>
      </c>
      <c r="I83" s="3">
        <v>-46.0</v>
      </c>
      <c r="J83" s="3">
        <v>349.0</v>
      </c>
      <c r="K83" s="3">
        <v>395.0</v>
      </c>
      <c r="L83" s="0" t="inlineStr">
        <is>
          <t>M0 faster</t>
        </is>
      </c>
    </row>
    <row r="84">
      <c r="A84" s="0" t="inlineStr">
        <is>
          <t>S05_Bottleneck</t>
        </is>
      </c>
      <c r="B84" s="0" t="inlineStr">
        <is>
          <t>S05_G02_C</t>
        </is>
      </c>
      <c r="C84" s="0" t="inlineStr">
        <is>
          <t>S05</t>
        </is>
      </c>
      <c r="D84" s="0" t="inlineStr">
        <is>
          <t>S05_G02</t>
        </is>
      </c>
      <c r="E84" s="0" t="inlineStr">
        <is>
          <t>C</t>
        </is>
      </c>
      <c r="F84" s="3">
        <v>3816</v>
      </c>
      <c r="G84" s="3">
        <v>58.55</v>
      </c>
      <c r="H84" s="3">
        <v>74.36</v>
      </c>
      <c r="I84" s="3">
        <v>370.0</v>
      </c>
      <c r="J84" s="3">
        <v>729.0</v>
      </c>
      <c r="K84" s="3">
        <v>359.0</v>
      </c>
      <c r="L84" s="0" t="inlineStr">
        <is>
          <t>M1 faster</t>
        </is>
      </c>
    </row>
    <row r="85">
      <c r="A85" s="0" t="inlineStr">
        <is>
          <t>S05_Bottleneck</t>
        </is>
      </c>
      <c r="B85" s="0" t="inlineStr">
        <is>
          <t>S05_G02_D</t>
        </is>
      </c>
      <c r="C85" s="0" t="inlineStr">
        <is>
          <t>S05</t>
        </is>
      </c>
      <c r="D85" s="0" t="inlineStr">
        <is>
          <t>S05_G02</t>
        </is>
      </c>
      <c r="E85" s="0" t="inlineStr">
        <is>
          <t>D</t>
        </is>
      </c>
      <c r="F85" s="3">
        <v>3816</v>
      </c>
      <c r="G85" s="3">
        <v>23.02</v>
      </c>
      <c r="H85" s="3">
        <v>25.4</v>
      </c>
      <c r="I85" s="3">
        <v>79.0</v>
      </c>
      <c r="J85" s="3">
        <v>433.0</v>
      </c>
      <c r="K85" s="3">
        <v>354.0</v>
      </c>
      <c r="L85" s="0" t="inlineStr">
        <is>
          <t>M1 faster</t>
        </is>
      </c>
    </row>
    <row r="86">
      <c r="A86" s="0" t="inlineStr">
        <is>
          <t>S05_Bottleneck</t>
        </is>
      </c>
      <c r="B86" s="0" t="inlineStr">
        <is>
          <t>S05_G03_C</t>
        </is>
      </c>
      <c r="C86" s="0" t="inlineStr">
        <is>
          <t>S05</t>
        </is>
      </c>
      <c r="D86" s="0" t="inlineStr">
        <is>
          <t>S05_G03</t>
        </is>
      </c>
      <c r="E86" s="0" t="inlineStr">
        <is>
          <t>C</t>
        </is>
      </c>
      <c r="F86" s="3">
        <v>3850</v>
      </c>
      <c r="G86" s="3">
        <v>49.85</v>
      </c>
      <c r="H86" s="3">
        <v>80.07</v>
      </c>
      <c r="I86" s="3">
        <v>319.0</v>
      </c>
      <c r="J86" s="3">
        <v>782.0</v>
      </c>
      <c r="K86" s="3">
        <v>463.0</v>
      </c>
      <c r="L86" s="0" t="inlineStr">
        <is>
          <t>M1 faster</t>
        </is>
      </c>
    </row>
    <row r="87">
      <c r="A87" s="0" t="inlineStr">
        <is>
          <t>S05_Bottleneck</t>
        </is>
      </c>
      <c r="B87" s="0" t="inlineStr">
        <is>
          <t>S05_G03_D</t>
        </is>
      </c>
      <c r="C87" s="0" t="inlineStr">
        <is>
          <t>S05</t>
        </is>
      </c>
      <c r="D87" s="0" t="inlineStr">
        <is>
          <t>S05_G03</t>
        </is>
      </c>
      <c r="E87" s="0" t="inlineStr">
        <is>
          <t>D</t>
        </is>
      </c>
      <c r="F87" s="3">
        <v>3850</v>
      </c>
      <c r="G87" s="3">
        <v>23.65</v>
      </c>
      <c r="H87" s="3">
        <v>30.62</v>
      </c>
      <c r="I87" s="3">
        <v>124.0</v>
      </c>
      <c r="J87" s="3">
        <v>506.0</v>
      </c>
      <c r="K87" s="3">
        <v>382.0</v>
      </c>
      <c r="L87" s="0" t="inlineStr">
        <is>
          <t>M1 faster</t>
        </is>
      </c>
    </row>
    <row r="88">
      <c r="A88" s="0" t="inlineStr">
        <is>
          <t>S05_Bottleneck</t>
        </is>
      </c>
      <c r="B88" s="0" t="inlineStr">
        <is>
          <t>S05_G04_C</t>
        </is>
      </c>
      <c r="C88" s="0" t="inlineStr">
        <is>
          <t>S05</t>
        </is>
      </c>
      <c r="D88" s="0" t="inlineStr">
        <is>
          <t>S05_G04</t>
        </is>
      </c>
      <c r="E88" s="0" t="inlineStr">
        <is>
          <t>C</t>
        </is>
      </c>
      <c r="F88" s="3">
        <v>3812</v>
      </c>
      <c r="G88" s="3">
        <v>63.4</v>
      </c>
      <c r="H88" s="3">
        <v>92.42</v>
      </c>
      <c r="I88" s="3">
        <v>398.0</v>
      </c>
      <c r="J88" s="3">
        <v>752.0</v>
      </c>
      <c r="K88" s="3">
        <v>354.0</v>
      </c>
      <c r="L88" s="0" t="inlineStr">
        <is>
          <t>M1 faster</t>
        </is>
      </c>
    </row>
    <row r="89">
      <c r="A89" s="0" t="inlineStr">
        <is>
          <t>S05_Bottleneck</t>
        </is>
      </c>
      <c r="B89" s="0" t="inlineStr">
        <is>
          <t>S05_G04_D</t>
        </is>
      </c>
      <c r="C89" s="0" t="inlineStr">
        <is>
          <t>S05</t>
        </is>
      </c>
      <c r="D89" s="0" t="inlineStr">
        <is>
          <t>S05_G04</t>
        </is>
      </c>
      <c r="E89" s="0" t="inlineStr">
        <is>
          <t>D</t>
        </is>
      </c>
      <c r="F89" s="3">
        <v>3812</v>
      </c>
      <c r="G89" s="3">
        <v>27.79</v>
      </c>
      <c r="H89" s="3">
        <v>36.75</v>
      </c>
      <c r="I89" s="3">
        <v>118.0</v>
      </c>
      <c r="J89" s="3">
        <v>537.0</v>
      </c>
      <c r="K89" s="3">
        <v>419.0</v>
      </c>
      <c r="L89" s="0" t="inlineStr">
        <is>
          <t>M1 faster</t>
        </is>
      </c>
    </row>
    <row r="90">
      <c r="A90" s="0" t="inlineStr">
        <is>
          <t>S05_Bottleneck</t>
        </is>
      </c>
      <c r="B90" s="0" t="inlineStr">
        <is>
          <t>S05_G05_C</t>
        </is>
      </c>
      <c r="C90" s="0" t="inlineStr">
        <is>
          <t>S05</t>
        </is>
      </c>
      <c r="D90" s="0" t="inlineStr">
        <is>
          <t>S05_G05</t>
        </is>
      </c>
      <c r="E90" s="0" t="inlineStr">
        <is>
          <t>C</t>
        </is>
      </c>
      <c r="F90" s="3">
        <v>3850</v>
      </c>
      <c r="G90" s="3">
        <v>61.29</v>
      </c>
      <c r="H90" s="3">
        <v>89.64</v>
      </c>
      <c r="I90" s="3">
        <v>325.0</v>
      </c>
      <c r="J90" s="3">
        <v>742.0</v>
      </c>
      <c r="K90" s="3">
        <v>417.0</v>
      </c>
      <c r="L90" s="0" t="inlineStr">
        <is>
          <t>M1 faster</t>
        </is>
      </c>
    </row>
    <row r="91">
      <c r="A91" s="0" t="inlineStr">
        <is>
          <t>S05_Bottleneck</t>
        </is>
      </c>
      <c r="B91" s="0" t="inlineStr">
        <is>
          <t>S05_G05_D</t>
        </is>
      </c>
      <c r="C91" s="0" t="inlineStr">
        <is>
          <t>S05</t>
        </is>
      </c>
      <c r="D91" s="0" t="inlineStr">
        <is>
          <t>S05_G05</t>
        </is>
      </c>
      <c r="E91" s="0" t="inlineStr">
        <is>
          <t>D</t>
        </is>
      </c>
      <c r="F91" s="3">
        <v>3850</v>
      </c>
      <c r="G91" s="3">
        <v>15.27</v>
      </c>
      <c r="H91" s="3">
        <v>16.55</v>
      </c>
      <c r="I91" s="3">
        <v>49.0</v>
      </c>
      <c r="J91" s="3">
        <v>358.0</v>
      </c>
      <c r="K91" s="3">
        <v>309.0</v>
      </c>
      <c r="L91" s="0" t="inlineStr">
        <is>
          <t>M1 faster</t>
        </is>
      </c>
    </row>
    <row r="92">
      <c r="A92" s="0" t="inlineStr">
        <is>
          <t>S05_Bottleneck</t>
        </is>
      </c>
      <c r="B92" s="0" t="inlineStr">
        <is>
          <t>S05_G06_C</t>
        </is>
      </c>
      <c r="C92" s="0" t="inlineStr">
        <is>
          <t>S05</t>
        </is>
      </c>
      <c r="D92" s="0" t="inlineStr">
        <is>
          <t>S05_G06</t>
        </is>
      </c>
      <c r="E92" s="0" t="inlineStr">
        <is>
          <t>C</t>
        </is>
      </c>
      <c r="F92" s="3">
        <v>3830</v>
      </c>
      <c r="G92" s="3">
        <v>58.47</v>
      </c>
      <c r="H92" s="3">
        <v>83.61</v>
      </c>
      <c r="I92" s="3">
        <v>341.0</v>
      </c>
      <c r="J92" s="3">
        <v>736.0</v>
      </c>
      <c r="K92" s="3">
        <v>395.0</v>
      </c>
      <c r="L92" s="0" t="inlineStr">
        <is>
          <t>M1 faster</t>
        </is>
      </c>
    </row>
    <row r="93">
      <c r="A93" s="0" t="inlineStr">
        <is>
          <t>S05_Bottleneck</t>
        </is>
      </c>
      <c r="B93" s="0" t="inlineStr">
        <is>
          <t>S05_G06_D</t>
        </is>
      </c>
      <c r="C93" s="0" t="inlineStr">
        <is>
          <t>S05</t>
        </is>
      </c>
      <c r="D93" s="0" t="inlineStr">
        <is>
          <t>S05_G06</t>
        </is>
      </c>
      <c r="E93" s="0" t="inlineStr">
        <is>
          <t>D</t>
        </is>
      </c>
      <c r="F93" s="3">
        <v>3830</v>
      </c>
      <c r="G93" s="3">
        <v>42.98</v>
      </c>
      <c r="H93" s="3">
        <v>51.49</v>
      </c>
      <c r="I93" s="3">
        <v>348.0</v>
      </c>
      <c r="J93" s="3">
        <v>671.0</v>
      </c>
      <c r="K93" s="3">
        <v>323.0</v>
      </c>
      <c r="L93" s="0" t="inlineStr">
        <is>
          <t>M1 faster</t>
        </is>
      </c>
    </row>
    <row r="94">
      <c r="A94" s="0" t="inlineStr">
        <is>
          <t>S05_Bottleneck</t>
        </is>
      </c>
      <c r="B94" s="0" t="inlineStr">
        <is>
          <t>S05_G07_C</t>
        </is>
      </c>
      <c r="C94" s="0" t="inlineStr">
        <is>
          <t>S05</t>
        </is>
      </c>
      <c r="D94" s="0" t="inlineStr">
        <is>
          <t>S05_G07</t>
        </is>
      </c>
      <c r="E94" s="0" t="inlineStr">
        <is>
          <t>C</t>
        </is>
      </c>
      <c r="F94" s="3">
        <v>3834</v>
      </c>
      <c r="G94" s="3">
        <v>56.58</v>
      </c>
      <c r="H94" s="3">
        <v>80.87</v>
      </c>
      <c r="I94" s="3">
        <v>343.0</v>
      </c>
      <c r="J94" s="3">
        <v>728.0</v>
      </c>
      <c r="K94" s="3">
        <v>385.0</v>
      </c>
      <c r="L94" s="0" t="inlineStr">
        <is>
          <t>M1 faster</t>
        </is>
      </c>
    </row>
    <row r="95">
      <c r="A95" s="0" t="inlineStr">
        <is>
          <t>S05_Bottleneck</t>
        </is>
      </c>
      <c r="B95" s="0" t="inlineStr">
        <is>
          <t>S05_G07_D</t>
        </is>
      </c>
      <c r="C95" s="0" t="inlineStr">
        <is>
          <t>S05</t>
        </is>
      </c>
      <c r="D95" s="0" t="inlineStr">
        <is>
          <t>S05_G07</t>
        </is>
      </c>
      <c r="E95" s="0" t="inlineStr">
        <is>
          <t>D</t>
        </is>
      </c>
      <c r="F95" s="3">
        <v>3834</v>
      </c>
      <c r="G95" s="3">
        <v>8.3</v>
      </c>
      <c r="H95" s="3">
        <v>7.53</v>
      </c>
      <c r="I95" s="3">
        <v>-85.0</v>
      </c>
      <c r="J95" s="3">
        <v>324.0</v>
      </c>
      <c r="K95" s="3">
        <v>409.0</v>
      </c>
      <c r="L95" s="0" t="inlineStr">
        <is>
          <t>M0 faster</t>
        </is>
      </c>
    </row>
    <row r="96">
      <c r="A96" s="0" t="inlineStr">
        <is>
          <t>S05_Bottleneck</t>
        </is>
      </c>
      <c r="B96" s="0" t="inlineStr">
        <is>
          <t>S05_G08_C</t>
        </is>
      </c>
      <c r="C96" s="0" t="inlineStr">
        <is>
          <t>S05</t>
        </is>
      </c>
      <c r="D96" s="0" t="inlineStr">
        <is>
          <t>S05_G08</t>
        </is>
      </c>
      <c r="E96" s="0" t="inlineStr">
        <is>
          <t>C</t>
        </is>
      </c>
      <c r="F96" s="3">
        <v>3822</v>
      </c>
      <c r="G96" s="3">
        <v>50.19</v>
      </c>
      <c r="H96" s="3">
        <v>77.19</v>
      </c>
      <c r="I96" s="3">
        <v>303.0</v>
      </c>
      <c r="J96" s="3">
        <v>779.0</v>
      </c>
      <c r="K96" s="3">
        <v>476.0</v>
      </c>
      <c r="L96" s="0" t="inlineStr">
        <is>
          <t>M1 faster</t>
        </is>
      </c>
    </row>
    <row r="97">
      <c r="A97" s="0" t="inlineStr">
        <is>
          <t>S05_Bottleneck</t>
        </is>
      </c>
      <c r="B97" s="0" t="inlineStr">
        <is>
          <t>S05_G08_D</t>
        </is>
      </c>
      <c r="C97" s="0" t="inlineStr">
        <is>
          <t>S05</t>
        </is>
      </c>
      <c r="D97" s="0" t="inlineStr">
        <is>
          <t>S05_G08</t>
        </is>
      </c>
      <c r="E97" s="0" t="inlineStr">
        <is>
          <t>D</t>
        </is>
      </c>
      <c r="F97" s="3">
        <v>3822</v>
      </c>
      <c r="G97" s="3">
        <v>30.56</v>
      </c>
      <c r="H97" s="3">
        <v>46.26</v>
      </c>
      <c r="I97" s="3">
        <v>181.0</v>
      </c>
      <c r="J97" s="3">
        <v>546.0</v>
      </c>
      <c r="K97" s="3">
        <v>365.0</v>
      </c>
      <c r="L97" s="0" t="inlineStr">
        <is>
          <t>M1 faster</t>
        </is>
      </c>
    </row>
    <row r="98">
      <c r="A98" s="0" t="inlineStr">
        <is>
          <t>S05_Bottleneck</t>
        </is>
      </c>
      <c r="B98" s="0" t="inlineStr">
        <is>
          <t>S05_G09_C</t>
        </is>
      </c>
      <c r="C98" s="0" t="inlineStr">
        <is>
          <t>S05</t>
        </is>
      </c>
      <c r="D98" s="0" t="inlineStr">
        <is>
          <t>S05_G09</t>
        </is>
      </c>
      <c r="E98" s="0" t="inlineStr">
        <is>
          <t>C</t>
        </is>
      </c>
      <c r="F98" s="3">
        <v>3850</v>
      </c>
      <c r="G98" s="3">
        <v>62.13</v>
      </c>
      <c r="H98" s="3">
        <v>79.15</v>
      </c>
      <c r="I98" s="3">
        <v>303.0</v>
      </c>
      <c r="J98" s="3">
        <v>719.0</v>
      </c>
      <c r="K98" s="3">
        <v>416.0</v>
      </c>
      <c r="L98" s="0" t="inlineStr">
        <is>
          <t>M1 faster</t>
        </is>
      </c>
    </row>
    <row r="99">
      <c r="A99" s="0" t="inlineStr">
        <is>
          <t>S05_Bottleneck</t>
        </is>
      </c>
      <c r="B99" s="0" t="inlineStr">
        <is>
          <t>S05_G09_D</t>
        </is>
      </c>
      <c r="C99" s="0" t="inlineStr">
        <is>
          <t>S05</t>
        </is>
      </c>
      <c r="D99" s="0" t="inlineStr">
        <is>
          <t>S05_G09</t>
        </is>
      </c>
      <c r="E99" s="0" t="inlineStr">
        <is>
          <t>D</t>
        </is>
      </c>
      <c r="F99" s="3">
        <v>3850</v>
      </c>
      <c r="G99" s="3">
        <v>32.14</v>
      </c>
      <c r="H99" s="3">
        <v>36.2</v>
      </c>
      <c r="I99" s="3">
        <v>172.0</v>
      </c>
      <c r="J99" s="3">
        <v>556.0</v>
      </c>
      <c r="K99" s="3">
        <v>384.0</v>
      </c>
      <c r="L99" s="0" t="inlineStr">
        <is>
          <t>M1 faster</t>
        </is>
      </c>
    </row>
    <row r="100">
      <c r="A100" s="0" t="inlineStr">
        <is>
          <t>S05_Bottleneck</t>
        </is>
      </c>
      <c r="B100" s="0" t="inlineStr">
        <is>
          <t>S05_G10_C</t>
        </is>
      </c>
      <c r="C100" s="0" t="inlineStr">
        <is>
          <t>S05</t>
        </is>
      </c>
      <c r="D100" s="0" t="inlineStr">
        <is>
          <t>S05_G10</t>
        </is>
      </c>
      <c r="E100" s="0" t="inlineStr">
        <is>
          <t>C</t>
        </is>
      </c>
      <c r="F100" s="3">
        <v>3800</v>
      </c>
      <c r="G100" s="3">
        <v>52.16</v>
      </c>
      <c r="H100" s="3">
        <v>77.65</v>
      </c>
      <c r="I100" s="3">
        <v>281.0</v>
      </c>
      <c r="J100" s="3">
        <v>758.0</v>
      </c>
      <c r="K100" s="3">
        <v>477.0</v>
      </c>
      <c r="L100" s="0" t="inlineStr">
        <is>
          <t>M1 faster</t>
        </is>
      </c>
    </row>
    <row r="101">
      <c r="A101" s="0" t="inlineStr">
        <is>
          <t>S05_Bottleneck</t>
        </is>
      </c>
      <c r="B101" s="0" t="inlineStr">
        <is>
          <t>S05_G10_D</t>
        </is>
      </c>
      <c r="C101" s="0" t="inlineStr">
        <is>
          <t>S05</t>
        </is>
      </c>
      <c r="D101" s="0" t="inlineStr">
        <is>
          <t>S05_G10</t>
        </is>
      </c>
      <c r="E101" s="0" t="inlineStr">
        <is>
          <t>D</t>
        </is>
      </c>
      <c r="F101" s="3">
        <v>3800</v>
      </c>
      <c r="G101" s="3">
        <v>-10.67</v>
      </c>
      <c r="H101" s="3">
        <v>-4.25</v>
      </c>
      <c r="I101" s="3">
        <v>-390.0</v>
      </c>
      <c r="J101" s="3">
        <v>306.0</v>
      </c>
      <c r="K101" s="3">
        <v>696.0</v>
      </c>
      <c r="L101" s="0" t="inlineStr">
        <is>
          <t>M0 faster</t>
        </is>
      </c>
    </row>
  </sheetData>
  <autoFilter ref="A1:L101"/>
</worksheet>
</file>

<file path=xl/worksheets/sheet9.xml><?xml version="1.0" encoding="utf-8"?>
<worksheet xmlns="http://schemas.openxmlformats.org/spreadsheetml/2006/main">
  <dimension ref="A1:T101"/>
  <sheetViews>
    <sheetView workbookViewId="0">
      <pane ySplit="1" topLeftCell="A2" activePane="bottomLeft" state="frozen"/>
    </sheetView>
  </sheetViews>
  <cols>
    <col min="1" max="1" width="26" customWidth="1"/>
    <col min="2" max="2" width="13" customWidth="1"/>
    <col min="3" max="3" width="16" customWidth="1"/>
    <col min="4" max="4" width="20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17" customWidth="1"/>
    <col min="11" max="11" width="20" customWidth="1"/>
    <col min="12" max="12" width="23" customWidth="1"/>
    <col min="13" max="13" width="23" customWidth="1"/>
    <col min="14" max="14" width="23" customWidth="1"/>
    <col min="15" max="15" width="23" customWidth="1"/>
    <col min="16" max="16" width="23" customWidth="1"/>
    <col min="17" max="17" width="17" customWidth="1"/>
    <col min="18" max="18" width="22" customWidth="1"/>
    <col min="19" max="19" width="27" customWidth="1"/>
    <col min="20" max="20" width="27" customWidth="1"/>
  </cols>
  <sheetData>
    <row r="1" ht="29" customHeight="1">
      <c r="A1" s="1" t="inlineStr">
        <is>
          <t>Environment</t>
        </is>
      </c>
      <c r="B1" s="1" t="inlineStr">
        <is>
          <t>Sample ID</t>
        </is>
      </c>
      <c r="C1" s="1" t="inlineStr">
        <is>
          <t>Must Explored</t>
        </is>
      </c>
      <c r="D1" s="1" t="inlineStr">
        <is>
          <t>LAMBDA_0 Explored</t>
        </is>
      </c>
      <c r="E1" s="1" t="inlineStr">
        <is>
          <t>LAMBDA_0 Num Revisit</t>
        </is>
      </c>
      <c r="F1" s="1" t="inlineStr">
        <is>
          <t>LAMBDA_0 Num Overlap</t>
        </is>
      </c>
      <c r="G1" s="1" t="inlineStr">
        <is>
          <t>LAMBDA_0 Coverage(%)</t>
        </is>
      </c>
      <c r="H1" s="1" t="inlineStr">
        <is>
          <t>LAMBDA_0 Revisit (%)</t>
        </is>
      </c>
      <c r="I1" s="1" t="inlineStr">
        <is>
          <t>LAMBDA_0 Overlap (%)</t>
        </is>
      </c>
      <c r="J1" s="1" t="inlineStr">
        <is>
          <t>LAMBDA_0 Steps</t>
        </is>
      </c>
      <c r="K1" s="1" t="inlineStr">
        <is>
          <t>LAMBDA_1 Explored</t>
        </is>
      </c>
      <c r="L1" s="1" t="inlineStr">
        <is>
          <t>LAMBDA_1 Num Revisit</t>
        </is>
      </c>
      <c r="M1" s="1" t="inlineStr">
        <is>
          <t>LAMBDA_1 Num Overlap</t>
        </is>
      </c>
      <c r="N1" s="1" t="inlineStr">
        <is>
          <t>LAMBDA_1 Coverage(%)</t>
        </is>
      </c>
      <c r="O1" s="1" t="inlineStr">
        <is>
          <t>LAMBDA_1 Revisit (%)</t>
        </is>
      </c>
      <c r="P1" s="1" t="inlineStr">
        <is>
          <t>LAMBDA_1 Overlap (%)</t>
        </is>
      </c>
      <c r="Q1" s="1" t="inlineStr">
        <is>
          <t>LAMBDA_1 Steps</t>
        </is>
      </c>
      <c r="R1" s="1" t="inlineStr">
        <is>
          <t>Saved steps = M0-M1</t>
        </is>
      </c>
      <c r="S1" s="1" t="inlineStr">
        <is>
          <t>Saved revisit pp = M0-M1</t>
        </is>
      </c>
      <c r="T1" s="1" t="inlineStr">
        <is>
          <t>Saved overlap pp = M0-M1</t>
        </is>
      </c>
    </row>
    <row r="2">
      <c r="A2" s="0" t="inlineStr">
        <is>
          <t>S01_Open_Space</t>
        </is>
      </c>
      <c r="B2" s="0" t="inlineStr">
        <is>
          <t>S01_G01_C</t>
        </is>
      </c>
      <c r="C2" s="3">
        <v>4011.0</v>
      </c>
      <c r="D2" s="3">
        <v>4011.0</v>
      </c>
      <c r="E2" s="3">
        <v>742.0</v>
      </c>
      <c r="F2" s="3">
        <v>742.0</v>
      </c>
      <c r="G2" s="3">
        <v>100.0</v>
      </c>
      <c r="H2" s="3">
        <v>73.22</v>
      </c>
      <c r="I2" s="3">
        <v>99.2</v>
      </c>
      <c r="J2" s="3">
        <v>699.0</v>
      </c>
      <c r="K2" s="3">
        <v>4011.0</v>
      </c>
      <c r="L2" s="3">
        <v>174.0</v>
      </c>
      <c r="M2" s="3">
        <v>160.0</v>
      </c>
      <c r="N2" s="3">
        <v>100.0</v>
      </c>
      <c r="O2" s="3">
        <v>10.62</v>
      </c>
      <c r="P2" s="3">
        <v>9.75</v>
      </c>
      <c r="Q2" s="3">
        <v>458.0</v>
      </c>
      <c r="R2" s="3">
        <f>IF(AND(ISNUMBER(J2),ISNUMBER(Q2)),J2-Q2,"")</f>
        <v>241.0</v>
      </c>
      <c r="S2" s="3">
        <f>H2-O2</f>
        <v>62.6</v>
      </c>
      <c r="T2" s="3">
        <f>I2-P2</f>
        <v>89.45</v>
      </c>
    </row>
    <row r="3">
      <c r="A3" s="0" t="inlineStr">
        <is>
          <t>S01_Open_Space</t>
        </is>
      </c>
      <c r="B3" s="0" t="inlineStr">
        <is>
          <t>S01_G01_D</t>
        </is>
      </c>
      <c r="C3" s="3">
        <v>4011.0</v>
      </c>
      <c r="D3" s="3">
        <v>4011.0</v>
      </c>
      <c r="E3" s="3">
        <v>589.0</v>
      </c>
      <c r="F3" s="3">
        <v>589.0</v>
      </c>
      <c r="G3" s="3">
        <v>100.0</v>
      </c>
      <c r="H3" s="3">
        <v>27.04</v>
      </c>
      <c r="I3" s="3">
        <v>31.18</v>
      </c>
      <c r="J3" s="3">
        <v>649.0</v>
      </c>
      <c r="K3" s="3">
        <v>4011.0</v>
      </c>
      <c r="L3" s="3">
        <v>308.0</v>
      </c>
      <c r="M3" s="3">
        <v>295.0</v>
      </c>
      <c r="N3" s="3">
        <v>100.0</v>
      </c>
      <c r="O3" s="3">
        <v>14.08</v>
      </c>
      <c r="P3" s="3">
        <v>15.34</v>
      </c>
      <c r="Q3" s="3">
        <v>559.0</v>
      </c>
      <c r="R3" s="3">
        <f>IF(AND(ISNUMBER(J3),ISNUMBER(Q3)),J3-Q3,"")</f>
        <v>90.0</v>
      </c>
      <c r="S3" s="3">
        <f>H3-O3</f>
        <v>12.96</v>
      </c>
      <c r="T3" s="3">
        <f>I3-P3</f>
        <v>15.84</v>
      </c>
    </row>
    <row r="4">
      <c r="A4" s="0" t="inlineStr">
        <is>
          <t>S01_Open_Space</t>
        </is>
      </c>
      <c r="B4" s="0" t="inlineStr">
        <is>
          <t>S01_G02_C</t>
        </is>
      </c>
      <c r="C4" s="3">
        <v>3985.0</v>
      </c>
      <c r="D4" s="3">
        <v>3985.0</v>
      </c>
      <c r="E4" s="3">
        <v>740.0</v>
      </c>
      <c r="F4" s="3">
        <v>735.0</v>
      </c>
      <c r="G4" s="3">
        <v>100.0</v>
      </c>
      <c r="H4" s="3">
        <v>60.62</v>
      </c>
      <c r="I4" s="3">
        <v>70.4</v>
      </c>
      <c r="J4" s="3">
        <v>663.0</v>
      </c>
      <c r="K4" s="3">
        <v>3985.0</v>
      </c>
      <c r="L4" s="3">
        <v>153.0</v>
      </c>
      <c r="M4" s="3">
        <v>143.0</v>
      </c>
      <c r="N4" s="3">
        <v>100.0</v>
      </c>
      <c r="O4" s="3">
        <v>9.1</v>
      </c>
      <c r="P4" s="3">
        <v>9.24</v>
      </c>
      <c r="Q4" s="3">
        <v>426.0</v>
      </c>
      <c r="R4" s="3">
        <f>IF(AND(ISNUMBER(J4),ISNUMBER(Q4)),J4-Q4,"")</f>
        <v>237.0</v>
      </c>
      <c r="S4" s="3">
        <f>H4-O4</f>
        <v>51.52</v>
      </c>
      <c r="T4" s="3">
        <f>I4-P4</f>
        <v>61.16</v>
      </c>
    </row>
    <row r="5">
      <c r="A5" s="0" t="inlineStr">
        <is>
          <t>S01_Open_Space</t>
        </is>
      </c>
      <c r="B5" s="0" t="inlineStr">
        <is>
          <t>S01_G02_D</t>
        </is>
      </c>
      <c r="C5" s="3">
        <v>3985.0</v>
      </c>
      <c r="D5" s="3">
        <v>3985.0</v>
      </c>
      <c r="E5" s="3">
        <v>732.0</v>
      </c>
      <c r="F5" s="3">
        <v>732.0</v>
      </c>
      <c r="G5" s="3">
        <v>100.0</v>
      </c>
      <c r="H5" s="3">
        <v>40.34</v>
      </c>
      <c r="I5" s="3">
        <v>47.87</v>
      </c>
      <c r="J5" s="3">
        <v>642.0</v>
      </c>
      <c r="K5" s="3">
        <v>3985.0</v>
      </c>
      <c r="L5" s="3">
        <v>213.0</v>
      </c>
      <c r="M5" s="3">
        <v>203.0</v>
      </c>
      <c r="N5" s="3">
        <v>100.0</v>
      </c>
      <c r="O5" s="3">
        <v>10.2</v>
      </c>
      <c r="P5" s="3">
        <v>10.72</v>
      </c>
      <c r="Q5" s="3">
        <v>527.0</v>
      </c>
      <c r="R5" s="3">
        <f>IF(AND(ISNUMBER(J5),ISNUMBER(Q5)),J5-Q5,"")</f>
        <v>115.0</v>
      </c>
      <c r="S5" s="3">
        <f>H5-O5</f>
        <v>30.14</v>
      </c>
      <c r="T5" s="3">
        <f>I5-P5</f>
        <v>37.15</v>
      </c>
    </row>
    <row r="6">
      <c r="A6" s="0" t="inlineStr">
        <is>
          <t>S01_Open_Space</t>
        </is>
      </c>
      <c r="B6" s="0" t="inlineStr">
        <is>
          <t>S01_G03_C</t>
        </is>
      </c>
      <c r="C6" s="3">
        <v>3992.0</v>
      </c>
      <c r="D6" s="3">
        <v>3992.0</v>
      </c>
      <c r="E6" s="3">
        <v>691.0</v>
      </c>
      <c r="F6" s="3">
        <v>687.0</v>
      </c>
      <c r="G6" s="3">
        <v>100.0</v>
      </c>
      <c r="H6" s="3">
        <v>68.98</v>
      </c>
      <c r="I6" s="3">
        <v>84.61</v>
      </c>
      <c r="J6" s="3">
        <v>655.0</v>
      </c>
      <c r="K6" s="3">
        <v>3992.0</v>
      </c>
      <c r="L6" s="3">
        <v>70.0</v>
      </c>
      <c r="M6" s="3">
        <v>70.0</v>
      </c>
      <c r="N6" s="3">
        <v>100.0</v>
      </c>
      <c r="O6" s="3">
        <v>4.75</v>
      </c>
      <c r="P6" s="3">
        <v>4.91</v>
      </c>
      <c r="Q6" s="3">
        <v>374.0</v>
      </c>
      <c r="R6" s="3">
        <f>IF(AND(ISNUMBER(J6),ISNUMBER(Q6)),J6-Q6,"")</f>
        <v>281.0</v>
      </c>
      <c r="S6" s="3">
        <f>H6-O6</f>
        <v>64.23</v>
      </c>
      <c r="T6" s="3">
        <f>I6-P6</f>
        <v>79.7</v>
      </c>
    </row>
    <row r="7">
      <c r="A7" s="0" t="inlineStr">
        <is>
          <t>S01_Open_Space</t>
        </is>
      </c>
      <c r="B7" s="0" t="inlineStr">
        <is>
          <t>S01_G03_D</t>
        </is>
      </c>
      <c r="C7" s="3">
        <v>3992.0</v>
      </c>
      <c r="D7" s="3">
        <v>3992.0</v>
      </c>
      <c r="E7" s="3">
        <v>535.0</v>
      </c>
      <c r="F7" s="3">
        <v>534.0</v>
      </c>
      <c r="G7" s="3">
        <v>100.0</v>
      </c>
      <c r="H7" s="3">
        <v>26.5</v>
      </c>
      <c r="I7" s="3">
        <v>29.57</v>
      </c>
      <c r="J7" s="3">
        <v>616.0</v>
      </c>
      <c r="K7" s="3">
        <v>3992.0</v>
      </c>
      <c r="L7" s="3">
        <v>315.0</v>
      </c>
      <c r="M7" s="3">
        <v>303.0</v>
      </c>
      <c r="N7" s="3">
        <v>100.0</v>
      </c>
      <c r="O7" s="3">
        <v>14.92</v>
      </c>
      <c r="P7" s="3">
        <v>16.06</v>
      </c>
      <c r="Q7" s="3">
        <v>555.0</v>
      </c>
      <c r="R7" s="3">
        <f>IF(AND(ISNUMBER(J7),ISNUMBER(Q7)),J7-Q7,"")</f>
        <v>61.0</v>
      </c>
      <c r="S7" s="3">
        <f>H7-O7</f>
        <v>11.58</v>
      </c>
      <c r="T7" s="3">
        <f>I7-P7</f>
        <v>13.51</v>
      </c>
    </row>
    <row r="8">
      <c r="A8" s="0" t="inlineStr">
        <is>
          <t>S01_Open_Space</t>
        </is>
      </c>
      <c r="B8" s="0" t="inlineStr">
        <is>
          <t>S01_G04_C</t>
        </is>
      </c>
      <c r="C8" s="3">
        <v>4040.0</v>
      </c>
      <c r="D8" s="3">
        <v>4040.0</v>
      </c>
      <c r="E8" s="3">
        <v>725.0</v>
      </c>
      <c r="F8" s="3">
        <v>725.0</v>
      </c>
      <c r="G8" s="3">
        <v>100.0</v>
      </c>
      <c r="H8" s="3">
        <v>46.88</v>
      </c>
      <c r="I8" s="3">
        <v>53.9</v>
      </c>
      <c r="J8" s="3">
        <v>633.0</v>
      </c>
      <c r="K8" s="3">
        <v>4040.0</v>
      </c>
      <c r="L8" s="3">
        <v>226.0</v>
      </c>
      <c r="M8" s="3">
        <v>213.0</v>
      </c>
      <c r="N8" s="3">
        <v>100.0</v>
      </c>
      <c r="O8" s="3">
        <v>11.35</v>
      </c>
      <c r="P8" s="3">
        <v>10.87</v>
      </c>
      <c r="Q8" s="3">
        <v>552.0</v>
      </c>
      <c r="R8" s="3">
        <f>IF(AND(ISNUMBER(J8),ISNUMBER(Q8)),J8-Q8,"")</f>
        <v>81.0</v>
      </c>
      <c r="S8" s="3">
        <f>H8-O8</f>
        <v>35.53</v>
      </c>
      <c r="T8" s="3">
        <f>I8-P8</f>
        <v>43.03</v>
      </c>
    </row>
    <row r="9">
      <c r="A9" s="0" t="inlineStr">
        <is>
          <t>S01_Open_Space</t>
        </is>
      </c>
      <c r="B9" s="0" t="inlineStr">
        <is>
          <t>S01_G04_D</t>
        </is>
      </c>
      <c r="C9" s="3">
        <v>4040.0</v>
      </c>
      <c r="D9" s="3">
        <v>4040.0</v>
      </c>
      <c r="E9" s="3">
        <v>634.0</v>
      </c>
      <c r="F9" s="3">
        <v>634.0</v>
      </c>
      <c r="G9" s="3">
        <v>100.0</v>
      </c>
      <c r="H9" s="3">
        <v>31.98</v>
      </c>
      <c r="I9" s="3">
        <v>37.03</v>
      </c>
      <c r="J9" s="3">
        <v>630.0</v>
      </c>
      <c r="K9" s="3">
        <v>4040.0</v>
      </c>
      <c r="L9" s="3">
        <v>305.0</v>
      </c>
      <c r="M9" s="3">
        <v>297.0</v>
      </c>
      <c r="N9" s="3">
        <v>100.0</v>
      </c>
      <c r="O9" s="3">
        <v>14.19</v>
      </c>
      <c r="P9" s="3">
        <v>15.11</v>
      </c>
      <c r="Q9" s="3">
        <v>573.0</v>
      </c>
      <c r="R9" s="3">
        <f>IF(AND(ISNUMBER(J9),ISNUMBER(Q9)),J9-Q9,"")</f>
        <v>57.0</v>
      </c>
      <c r="S9" s="3">
        <f>H9-O9</f>
        <v>17.79</v>
      </c>
      <c r="T9" s="3">
        <f>I9-P9</f>
        <v>21.92</v>
      </c>
    </row>
    <row r="10">
      <c r="A10" s="0" t="inlineStr">
        <is>
          <t>S01_Open_Space</t>
        </is>
      </c>
      <c r="B10" s="0" t="inlineStr">
        <is>
          <t>S01_G05_C</t>
        </is>
      </c>
      <c r="C10" s="3">
        <v>3975.0</v>
      </c>
      <c r="D10" s="3">
        <v>3975.0</v>
      </c>
      <c r="E10" s="3">
        <v>719.0</v>
      </c>
      <c r="F10" s="3">
        <v>718.0</v>
      </c>
      <c r="G10" s="3">
        <v>100.0</v>
      </c>
      <c r="H10" s="3">
        <v>72.19</v>
      </c>
      <c r="I10" s="3">
        <v>93.01</v>
      </c>
      <c r="J10" s="3">
        <v>695.0</v>
      </c>
      <c r="K10" s="3">
        <v>3975.0</v>
      </c>
      <c r="L10" s="3">
        <v>255.0</v>
      </c>
      <c r="M10" s="3">
        <v>249.0</v>
      </c>
      <c r="N10" s="3">
        <v>100.0</v>
      </c>
      <c r="O10" s="3">
        <v>14.58</v>
      </c>
      <c r="P10" s="3">
        <v>13.84</v>
      </c>
      <c r="Q10" s="3">
        <v>526.0</v>
      </c>
      <c r="R10" s="3">
        <f>IF(AND(ISNUMBER(J10),ISNUMBER(Q10)),J10-Q10,"")</f>
        <v>169.0</v>
      </c>
      <c r="S10" s="3">
        <f>H10-O10</f>
        <v>57.61</v>
      </c>
      <c r="T10" s="3">
        <f>I10-P10</f>
        <v>79.17</v>
      </c>
    </row>
    <row r="11">
      <c r="A11" s="0" t="inlineStr">
        <is>
          <t>S01_Open_Space</t>
        </is>
      </c>
      <c r="B11" s="0" t="inlineStr">
        <is>
          <t>S01_G05_D</t>
        </is>
      </c>
      <c r="C11" s="3">
        <v>3975.0</v>
      </c>
      <c r="D11" s="3">
        <v>3975.0</v>
      </c>
      <c r="E11" s="3">
        <v>536.0</v>
      </c>
      <c r="F11" s="3">
        <v>535.0</v>
      </c>
      <c r="G11" s="3">
        <v>100.0</v>
      </c>
      <c r="H11" s="3">
        <v>25.58</v>
      </c>
      <c r="I11" s="3">
        <v>29.61</v>
      </c>
      <c r="J11" s="3">
        <v>609.0</v>
      </c>
      <c r="K11" s="3">
        <v>3975.0</v>
      </c>
      <c r="L11" s="3">
        <v>200.0</v>
      </c>
      <c r="M11" s="3">
        <v>195.0</v>
      </c>
      <c r="N11" s="3">
        <v>100.0</v>
      </c>
      <c r="O11" s="3">
        <v>10.86</v>
      </c>
      <c r="P11" s="3">
        <v>11.65</v>
      </c>
      <c r="Q11" s="3">
        <v>469.0</v>
      </c>
      <c r="R11" s="3">
        <f>IF(AND(ISNUMBER(J11),ISNUMBER(Q11)),J11-Q11,"")</f>
        <v>140.0</v>
      </c>
      <c r="S11" s="3">
        <f>H11-O11</f>
        <v>14.72</v>
      </c>
      <c r="T11" s="3">
        <f>I11-P11</f>
        <v>17.96</v>
      </c>
    </row>
    <row r="12">
      <c r="A12" s="0" t="inlineStr">
        <is>
          <t>S01_Open_Space</t>
        </is>
      </c>
      <c r="B12" s="0" t="inlineStr">
        <is>
          <t>S01_G06_C</t>
        </is>
      </c>
      <c r="C12" s="3">
        <v>3985.0</v>
      </c>
      <c r="D12" s="3">
        <v>3985.0</v>
      </c>
      <c r="E12" s="3">
        <v>778.0</v>
      </c>
      <c r="F12" s="3">
        <v>778.0</v>
      </c>
      <c r="G12" s="3">
        <v>100.0</v>
      </c>
      <c r="H12" s="3">
        <v>67.8</v>
      </c>
      <c r="I12" s="3">
        <v>93.29</v>
      </c>
      <c r="J12" s="3">
        <v>651.0</v>
      </c>
      <c r="K12" s="3">
        <v>3985.0</v>
      </c>
      <c r="L12" s="3">
        <v>287.0</v>
      </c>
      <c r="M12" s="3">
        <v>272.0</v>
      </c>
      <c r="N12" s="3">
        <v>100.0</v>
      </c>
      <c r="O12" s="3">
        <v>16.01</v>
      </c>
      <c r="P12" s="3">
        <v>15.61</v>
      </c>
      <c r="Q12" s="3">
        <v>518.0</v>
      </c>
      <c r="R12" s="3">
        <f>IF(AND(ISNUMBER(J12),ISNUMBER(Q12)),J12-Q12,"")</f>
        <v>133.0</v>
      </c>
      <c r="S12" s="3">
        <f>H12-O12</f>
        <v>51.79</v>
      </c>
      <c r="T12" s="3">
        <f>I12-P12</f>
        <v>77.68</v>
      </c>
    </row>
    <row r="13">
      <c r="A13" s="0" t="inlineStr">
        <is>
          <t>S01_Open_Space</t>
        </is>
      </c>
      <c r="B13" s="0" t="inlineStr">
        <is>
          <t>S01_G06_D</t>
        </is>
      </c>
      <c r="C13" s="3">
        <v>3985.0</v>
      </c>
      <c r="D13" s="3">
        <v>3985.0</v>
      </c>
      <c r="E13" s="3">
        <v>502.0</v>
      </c>
      <c r="F13" s="3">
        <v>502.0</v>
      </c>
      <c r="G13" s="3">
        <v>100.0</v>
      </c>
      <c r="H13" s="3">
        <v>27.5</v>
      </c>
      <c r="I13" s="3">
        <v>28.9</v>
      </c>
      <c r="J13" s="3">
        <v>601.0</v>
      </c>
      <c r="K13" s="3">
        <v>3985.0</v>
      </c>
      <c r="L13" s="3">
        <v>91.0</v>
      </c>
      <c r="M13" s="3">
        <v>90.0</v>
      </c>
      <c r="N13" s="3">
        <v>100.0</v>
      </c>
      <c r="O13" s="3">
        <v>5.22</v>
      </c>
      <c r="P13" s="3">
        <v>5.27</v>
      </c>
      <c r="Q13" s="3">
        <v>450.0</v>
      </c>
      <c r="R13" s="3">
        <f>IF(AND(ISNUMBER(J13),ISNUMBER(Q13)),J13-Q13,"")</f>
        <v>151.0</v>
      </c>
      <c r="S13" s="3">
        <f>H13-O13</f>
        <v>22.28</v>
      </c>
      <c r="T13" s="3">
        <f>I13-P13</f>
        <v>23.63</v>
      </c>
    </row>
    <row r="14">
      <c r="A14" s="0" t="inlineStr">
        <is>
          <t>S01_Open_Space</t>
        </is>
      </c>
      <c r="B14" s="0" t="inlineStr">
        <is>
          <t>S01_G07_C</t>
        </is>
      </c>
      <c r="C14" s="3">
        <v>3967.0</v>
      </c>
      <c r="D14" s="3">
        <v>3967.0</v>
      </c>
      <c r="E14" s="3">
        <v>703.0</v>
      </c>
      <c r="F14" s="3">
        <v>703.0</v>
      </c>
      <c r="G14" s="3">
        <v>100.0</v>
      </c>
      <c r="H14" s="3">
        <v>72.16</v>
      </c>
      <c r="I14" s="3">
        <v>98.46</v>
      </c>
      <c r="J14" s="3">
        <v>641.0</v>
      </c>
      <c r="K14" s="3">
        <v>3967.0</v>
      </c>
      <c r="L14" s="3">
        <v>332.0</v>
      </c>
      <c r="M14" s="3">
        <v>314.0</v>
      </c>
      <c r="N14" s="3">
        <v>100.0</v>
      </c>
      <c r="O14" s="3">
        <v>15.95</v>
      </c>
      <c r="P14" s="3">
        <v>16.84</v>
      </c>
      <c r="Q14" s="3">
        <v>554.0</v>
      </c>
      <c r="R14" s="3">
        <f>IF(AND(ISNUMBER(J14),ISNUMBER(Q14)),J14-Q14,"")</f>
        <v>87.0</v>
      </c>
      <c r="S14" s="3">
        <f>H14-O14</f>
        <v>56.21</v>
      </c>
      <c r="T14" s="3">
        <f>I14-P14</f>
        <v>81.62</v>
      </c>
    </row>
    <row r="15">
      <c r="A15" s="0" t="inlineStr">
        <is>
          <t>S01_Open_Space</t>
        </is>
      </c>
      <c r="B15" s="0" t="inlineStr">
        <is>
          <t>S01_G07_D</t>
        </is>
      </c>
      <c r="C15" s="3">
        <v>3967.0</v>
      </c>
      <c r="D15" s="3">
        <v>3967.0</v>
      </c>
      <c r="E15" s="3">
        <v>540.0</v>
      </c>
      <c r="F15" s="3">
        <v>540.0</v>
      </c>
      <c r="G15" s="3">
        <v>100.0</v>
      </c>
      <c r="H15" s="3">
        <v>28.09</v>
      </c>
      <c r="I15" s="3">
        <v>32.1</v>
      </c>
      <c r="J15" s="3">
        <v>587.0</v>
      </c>
      <c r="K15" s="3">
        <v>3967.0</v>
      </c>
      <c r="L15" s="3">
        <v>76.0</v>
      </c>
      <c r="M15" s="3">
        <v>76.0</v>
      </c>
      <c r="N15" s="3">
        <v>100.0</v>
      </c>
      <c r="O15" s="3">
        <v>4.98</v>
      </c>
      <c r="P15" s="3">
        <v>5.04</v>
      </c>
      <c r="Q15" s="3">
        <v>396.0</v>
      </c>
      <c r="R15" s="3">
        <f>IF(AND(ISNUMBER(J15),ISNUMBER(Q15)),J15-Q15,"")</f>
        <v>191.0</v>
      </c>
      <c r="S15" s="3">
        <f>H15-O15</f>
        <v>23.11</v>
      </c>
      <c r="T15" s="3">
        <f>I15-P15</f>
        <v>27.06</v>
      </c>
    </row>
    <row r="16">
      <c r="A16" s="0" t="inlineStr">
        <is>
          <t>S01_Open_Space</t>
        </is>
      </c>
      <c r="B16" s="0" t="inlineStr">
        <is>
          <t>S01_G08_C</t>
        </is>
      </c>
      <c r="C16" s="3">
        <v>4020.0</v>
      </c>
      <c r="D16" s="3">
        <v>4020.0</v>
      </c>
      <c r="E16" s="3">
        <v>929.0</v>
      </c>
      <c r="F16" s="3">
        <v>929.0</v>
      </c>
      <c r="G16" s="3">
        <v>100.0</v>
      </c>
      <c r="H16" s="3">
        <v>51.1</v>
      </c>
      <c r="I16" s="3">
        <v>73.5</v>
      </c>
      <c r="J16" s="3">
        <v>649.0</v>
      </c>
      <c r="K16" s="3">
        <v>4020.0</v>
      </c>
      <c r="L16" s="3">
        <v>155.0</v>
      </c>
      <c r="M16" s="3">
        <v>149.0</v>
      </c>
      <c r="N16" s="3">
        <v>100.0</v>
      </c>
      <c r="O16" s="3">
        <v>10.72</v>
      </c>
      <c r="P16" s="3">
        <v>10.59</v>
      </c>
      <c r="Q16" s="3">
        <v>394.0</v>
      </c>
      <c r="R16" s="3">
        <f>IF(AND(ISNUMBER(J16),ISNUMBER(Q16)),J16-Q16,"")</f>
        <v>255.0</v>
      </c>
      <c r="S16" s="3">
        <f>H16-O16</f>
        <v>40.38</v>
      </c>
      <c r="T16" s="3">
        <f>I16-P16</f>
        <v>62.91</v>
      </c>
    </row>
    <row r="17">
      <c r="A17" s="0" t="inlineStr">
        <is>
          <t>S01_Open_Space</t>
        </is>
      </c>
      <c r="B17" s="0" t="inlineStr">
        <is>
          <t>S01_G08_D</t>
        </is>
      </c>
      <c r="C17" s="3">
        <v>4020.0</v>
      </c>
      <c r="D17" s="3">
        <v>4020.0</v>
      </c>
      <c r="E17" s="3">
        <v>576.0</v>
      </c>
      <c r="F17" s="3">
        <v>576.0</v>
      </c>
      <c r="G17" s="3">
        <v>100.0</v>
      </c>
      <c r="H17" s="3">
        <v>31.92</v>
      </c>
      <c r="I17" s="3">
        <v>33.76</v>
      </c>
      <c r="J17" s="3">
        <v>627.0</v>
      </c>
      <c r="K17" s="3">
        <v>4020.0</v>
      </c>
      <c r="L17" s="3">
        <v>429.0</v>
      </c>
      <c r="M17" s="3">
        <v>400.0</v>
      </c>
      <c r="N17" s="3">
        <v>100.0</v>
      </c>
      <c r="O17" s="3">
        <v>19.61</v>
      </c>
      <c r="P17" s="3">
        <v>19.71</v>
      </c>
      <c r="Q17" s="3">
        <v>630.0</v>
      </c>
      <c r="R17" s="3">
        <f>IF(AND(ISNUMBER(J17),ISNUMBER(Q17)),J17-Q17,"")</f>
        <v>-3.0</v>
      </c>
      <c r="S17" s="3">
        <f>H17-O17</f>
        <v>12.31</v>
      </c>
      <c r="T17" s="3">
        <f>I17-P17</f>
        <v>14.05</v>
      </c>
    </row>
    <row r="18">
      <c r="A18" s="0" t="inlineStr">
        <is>
          <t>S01_Open_Space</t>
        </is>
      </c>
      <c r="B18" s="0" t="inlineStr">
        <is>
          <t>S01_G09_C</t>
        </is>
      </c>
      <c r="C18" s="3">
        <v>4015.0</v>
      </c>
      <c r="D18" s="3">
        <v>4015.0</v>
      </c>
      <c r="E18" s="3">
        <v>1012.0</v>
      </c>
      <c r="F18" s="3">
        <v>1012.0</v>
      </c>
      <c r="G18" s="3">
        <v>100.0</v>
      </c>
      <c r="H18" s="3">
        <v>60.35</v>
      </c>
      <c r="I18" s="3">
        <v>97.12</v>
      </c>
      <c r="J18" s="3">
        <v>658.0</v>
      </c>
      <c r="K18" s="3">
        <v>4015.0</v>
      </c>
      <c r="L18" s="3">
        <v>223.0</v>
      </c>
      <c r="M18" s="3">
        <v>217.0</v>
      </c>
      <c r="N18" s="3">
        <v>100.0</v>
      </c>
      <c r="O18" s="3">
        <v>12.56</v>
      </c>
      <c r="P18" s="3">
        <v>12.41</v>
      </c>
      <c r="Q18" s="3">
        <v>499.0</v>
      </c>
      <c r="R18" s="3">
        <f>IF(AND(ISNUMBER(J18),ISNUMBER(Q18)),J18-Q18,"")</f>
        <v>159.0</v>
      </c>
      <c r="S18" s="3">
        <f>H18-O18</f>
        <v>47.79</v>
      </c>
      <c r="T18" s="3">
        <f>I18-P18</f>
        <v>84.71</v>
      </c>
    </row>
    <row r="19">
      <c r="A19" s="0" t="inlineStr">
        <is>
          <t>S01_Open_Space</t>
        </is>
      </c>
      <c r="B19" s="0" t="inlineStr">
        <is>
          <t>S01_G09_D</t>
        </is>
      </c>
      <c r="C19" s="3">
        <v>4015.0</v>
      </c>
      <c r="D19" s="3">
        <v>4015.0</v>
      </c>
      <c r="E19" s="3">
        <v>461.0</v>
      </c>
      <c r="F19" s="3">
        <v>459.0</v>
      </c>
      <c r="G19" s="3">
        <v>100.0</v>
      </c>
      <c r="H19" s="3">
        <v>22.26</v>
      </c>
      <c r="I19" s="3">
        <v>21.37</v>
      </c>
      <c r="J19" s="3">
        <v>691.0</v>
      </c>
      <c r="K19" s="3">
        <v>4015.0</v>
      </c>
      <c r="L19" s="3">
        <v>143.0</v>
      </c>
      <c r="M19" s="3">
        <v>135.0</v>
      </c>
      <c r="N19" s="3">
        <v>100.0</v>
      </c>
      <c r="O19" s="3">
        <v>7.64</v>
      </c>
      <c r="P19" s="3">
        <v>7.44</v>
      </c>
      <c r="Q19" s="3">
        <v>492.0</v>
      </c>
      <c r="R19" s="3">
        <f>IF(AND(ISNUMBER(J19),ISNUMBER(Q19)),J19-Q19,"")</f>
        <v>199.0</v>
      </c>
      <c r="S19" s="3">
        <f>H19-O19</f>
        <v>14.62</v>
      </c>
      <c r="T19" s="3">
        <f>I19-P19</f>
        <v>13.93</v>
      </c>
    </row>
    <row r="20">
      <c r="A20" s="0" t="inlineStr">
        <is>
          <t>S01_Open_Space</t>
        </is>
      </c>
      <c r="B20" s="0" t="inlineStr">
        <is>
          <t>S01_G10_C</t>
        </is>
      </c>
      <c r="C20" s="3">
        <v>3990.0</v>
      </c>
      <c r="D20" s="3">
        <v>3990.0</v>
      </c>
      <c r="E20" s="3">
        <v>869.0</v>
      </c>
      <c r="F20" s="3">
        <v>869.0</v>
      </c>
      <c r="G20" s="3">
        <v>100.0</v>
      </c>
      <c r="H20" s="3">
        <v>61.45</v>
      </c>
      <c r="I20" s="3">
        <v>86.73</v>
      </c>
      <c r="J20" s="3">
        <v>649.0</v>
      </c>
      <c r="K20" s="3">
        <v>3990.0</v>
      </c>
      <c r="L20" s="3">
        <v>163.0</v>
      </c>
      <c r="M20" s="3">
        <v>162.0</v>
      </c>
      <c r="N20" s="3">
        <v>100.0</v>
      </c>
      <c r="O20" s="3">
        <v>8.82</v>
      </c>
      <c r="P20" s="3">
        <v>8.86</v>
      </c>
      <c r="Q20" s="3">
        <v>502.0</v>
      </c>
      <c r="R20" s="3">
        <f>IF(AND(ISNUMBER(J20),ISNUMBER(Q20)),J20-Q20,"")</f>
        <v>147.0</v>
      </c>
      <c r="S20" s="3">
        <f>H20-O20</f>
        <v>52.63</v>
      </c>
      <c r="T20" s="3">
        <f>I20-P20</f>
        <v>77.87</v>
      </c>
    </row>
    <row r="21">
      <c r="A21" s="0" t="inlineStr">
        <is>
          <t>S01_Open_Space</t>
        </is>
      </c>
      <c r="B21" s="0" t="inlineStr">
        <is>
          <t>S01_G10_D</t>
        </is>
      </c>
      <c r="C21" s="3">
        <v>3990.0</v>
      </c>
      <c r="D21" s="3">
        <v>3990.0</v>
      </c>
      <c r="E21" s="3">
        <v>444.0</v>
      </c>
      <c r="F21" s="3">
        <v>439.0</v>
      </c>
      <c r="G21" s="3">
        <v>100.0</v>
      </c>
      <c r="H21" s="3">
        <v>23.67</v>
      </c>
      <c r="I21" s="3">
        <v>22.92</v>
      </c>
      <c r="J21" s="3">
        <v>630.0</v>
      </c>
      <c r="K21" s="3">
        <v>3990.0</v>
      </c>
      <c r="L21" s="3">
        <v>238.0</v>
      </c>
      <c r="M21" s="3">
        <v>225.0</v>
      </c>
      <c r="N21" s="3">
        <v>100.0</v>
      </c>
      <c r="O21" s="3">
        <v>11.25</v>
      </c>
      <c r="P21" s="3">
        <v>11.41</v>
      </c>
      <c r="Q21" s="3">
        <v>555.0</v>
      </c>
      <c r="R21" s="3">
        <f>IF(AND(ISNUMBER(J21),ISNUMBER(Q21)),J21-Q21,"")</f>
        <v>75.0</v>
      </c>
      <c r="S21" s="3">
        <f>H21-O21</f>
        <v>12.42</v>
      </c>
      <c r="T21" s="3">
        <f>I21-P21</f>
        <v>11.51</v>
      </c>
    </row>
    <row r="22">
      <c r="A22" s="0" t="inlineStr">
        <is>
          <t>S02_Partitioned_Rooms</t>
        </is>
      </c>
      <c r="B22" s="0" t="inlineStr">
        <is>
          <t>S02_G01_C</t>
        </is>
      </c>
      <c r="C22" s="3">
        <v>3960.0</v>
      </c>
      <c r="D22" s="3">
        <v>3960.0</v>
      </c>
      <c r="E22" s="3">
        <v>854.0</v>
      </c>
      <c r="F22" s="3">
        <v>853.0</v>
      </c>
      <c r="G22" s="3">
        <v>100.0</v>
      </c>
      <c r="H22" s="3">
        <v>63.52</v>
      </c>
      <c r="I22" s="3">
        <v>90.74</v>
      </c>
      <c r="J22" s="3">
        <v>645.0</v>
      </c>
      <c r="K22" s="3">
        <v>3960.0</v>
      </c>
      <c r="L22" s="3">
        <v>354.0</v>
      </c>
      <c r="M22" s="3">
        <v>326.0</v>
      </c>
      <c r="N22" s="3">
        <v>100.0</v>
      </c>
      <c r="O22" s="3">
        <v>19.7</v>
      </c>
      <c r="P22" s="3">
        <v>19.0</v>
      </c>
      <c r="Q22" s="3">
        <v>535.0</v>
      </c>
      <c r="R22" s="3">
        <f>IF(AND(ISNUMBER(J22),ISNUMBER(Q22)),J22-Q22,"")</f>
        <v>110.0</v>
      </c>
      <c r="S22" s="3">
        <f>H22-O22</f>
        <v>43.82</v>
      </c>
      <c r="T22" s="3">
        <f>I22-P22</f>
        <v>71.74</v>
      </c>
    </row>
    <row r="23">
      <c r="A23" s="0" t="inlineStr">
        <is>
          <t>S02_Partitioned_Rooms</t>
        </is>
      </c>
      <c r="B23" s="0" t="inlineStr">
        <is>
          <t>S02_G01_D</t>
        </is>
      </c>
      <c r="C23" s="3">
        <v>3960.0</v>
      </c>
      <c r="D23" s="3">
        <v>3960.0</v>
      </c>
      <c r="E23" s="3">
        <v>806.0</v>
      </c>
      <c r="F23" s="3">
        <v>783.0</v>
      </c>
      <c r="G23" s="3">
        <v>100.0</v>
      </c>
      <c r="H23" s="3">
        <v>57.04</v>
      </c>
      <c r="I23" s="3">
        <v>62.64</v>
      </c>
      <c r="J23" s="3">
        <v>730.0</v>
      </c>
      <c r="K23" s="3">
        <v>3960.0</v>
      </c>
      <c r="L23" s="3">
        <v>286.0</v>
      </c>
      <c r="M23" s="3">
        <v>268.0</v>
      </c>
      <c r="N23" s="3">
        <v>100.0</v>
      </c>
      <c r="O23" s="3">
        <v>15.68</v>
      </c>
      <c r="P23" s="3">
        <v>14.74</v>
      </c>
      <c r="Q23" s="3">
        <v>541.0</v>
      </c>
      <c r="R23" s="3">
        <f>IF(AND(ISNUMBER(J23),ISNUMBER(Q23)),J23-Q23,"")</f>
        <v>189.0</v>
      </c>
      <c r="S23" s="3">
        <f>H23-O23</f>
        <v>41.36</v>
      </c>
      <c r="T23" s="3">
        <f>I23-P23</f>
        <v>47.9</v>
      </c>
    </row>
    <row r="24">
      <c r="A24" s="0" t="inlineStr">
        <is>
          <t>S02_Partitioned_Rooms</t>
        </is>
      </c>
      <c r="B24" s="0" t="inlineStr">
        <is>
          <t>S02_G02_C</t>
        </is>
      </c>
      <c r="C24" s="3">
        <v>3962.0</v>
      </c>
      <c r="D24" s="3">
        <v>3962.0</v>
      </c>
      <c r="E24" s="3">
        <v>691.0</v>
      </c>
      <c r="F24" s="3">
        <v>681.0</v>
      </c>
      <c r="G24" s="3">
        <v>100.0</v>
      </c>
      <c r="H24" s="3">
        <v>55.95</v>
      </c>
      <c r="I24" s="3">
        <v>53.5</v>
      </c>
      <c r="J24" s="3">
        <v>723.0</v>
      </c>
      <c r="K24" s="3">
        <v>3962.0</v>
      </c>
      <c r="L24" s="3">
        <v>380.0</v>
      </c>
      <c r="M24" s="3">
        <v>341.0</v>
      </c>
      <c r="N24" s="3">
        <v>100.0</v>
      </c>
      <c r="O24" s="3">
        <v>22.06</v>
      </c>
      <c r="P24" s="3">
        <v>20.15</v>
      </c>
      <c r="Q24" s="3">
        <v>542.0</v>
      </c>
      <c r="R24" s="3">
        <f>IF(AND(ISNUMBER(J24),ISNUMBER(Q24)),J24-Q24,"")</f>
        <v>181.0</v>
      </c>
      <c r="S24" s="3">
        <f>H24-O24</f>
        <v>33.89</v>
      </c>
      <c r="T24" s="3">
        <f>I24-P24</f>
        <v>33.35</v>
      </c>
    </row>
    <row r="25">
      <c r="A25" s="0" t="inlineStr">
        <is>
          <t>S02_Partitioned_Rooms</t>
        </is>
      </c>
      <c r="B25" s="0" t="inlineStr">
        <is>
          <t>S02_G02_D</t>
        </is>
      </c>
      <c r="C25" s="3">
        <v>3962.0</v>
      </c>
      <c r="D25" s="3">
        <v>3962.0</v>
      </c>
      <c r="E25" s="3">
        <v>586.0</v>
      </c>
      <c r="F25" s="3">
        <v>569.0</v>
      </c>
      <c r="G25" s="3">
        <v>100.0</v>
      </c>
      <c r="H25" s="3">
        <v>40.65</v>
      </c>
      <c r="I25" s="3">
        <v>38.21</v>
      </c>
      <c r="J25" s="3">
        <v>629.0</v>
      </c>
      <c r="K25" s="3">
        <v>3962.0</v>
      </c>
      <c r="L25" s="3">
        <v>440.0</v>
      </c>
      <c r="M25" s="3">
        <v>406.0</v>
      </c>
      <c r="N25" s="3">
        <v>100.0</v>
      </c>
      <c r="O25" s="3">
        <v>21.15</v>
      </c>
      <c r="P25" s="3">
        <v>21.19</v>
      </c>
      <c r="Q25" s="3">
        <v>607.0</v>
      </c>
      <c r="R25" s="3">
        <f>IF(AND(ISNUMBER(J25),ISNUMBER(Q25)),J25-Q25,"")</f>
        <v>22.0</v>
      </c>
      <c r="S25" s="3">
        <f>H25-O25</f>
        <v>19.5</v>
      </c>
      <c r="T25" s="3">
        <f>I25-P25</f>
        <v>17.02</v>
      </c>
    </row>
    <row r="26">
      <c r="A26" s="0" t="inlineStr">
        <is>
          <t>S02_Partitioned_Rooms</t>
        </is>
      </c>
      <c r="B26" s="0" t="inlineStr">
        <is>
          <t>S02_G03_C</t>
        </is>
      </c>
      <c r="C26" s="3">
        <v>4003.0</v>
      </c>
      <c r="D26" s="3">
        <v>4003.0</v>
      </c>
      <c r="E26" s="3">
        <v>926.0</v>
      </c>
      <c r="F26" s="3">
        <v>926.0</v>
      </c>
      <c r="G26" s="3">
        <v>100.0</v>
      </c>
      <c r="H26" s="3">
        <v>66.16</v>
      </c>
      <c r="I26" s="3">
        <v>97.17</v>
      </c>
      <c r="J26" s="3">
        <v>709.0</v>
      </c>
      <c r="K26" s="3">
        <v>4003.0</v>
      </c>
      <c r="L26" s="3">
        <v>166.0</v>
      </c>
      <c r="M26" s="3">
        <v>149.0</v>
      </c>
      <c r="N26" s="3">
        <v>100.0</v>
      </c>
      <c r="O26" s="3">
        <v>9.51</v>
      </c>
      <c r="P26" s="3">
        <v>8.61</v>
      </c>
      <c r="Q26" s="3">
        <v>478.0</v>
      </c>
      <c r="R26" s="3">
        <f>IF(AND(ISNUMBER(J26),ISNUMBER(Q26)),J26-Q26,"")</f>
        <v>231.0</v>
      </c>
      <c r="S26" s="3">
        <f>H26-O26</f>
        <v>56.65</v>
      </c>
      <c r="T26" s="3">
        <f>I26-P26</f>
        <v>88.56</v>
      </c>
    </row>
    <row r="27">
      <c r="A27" s="0" t="inlineStr">
        <is>
          <t>S02_Partitioned_Rooms</t>
        </is>
      </c>
      <c r="B27" s="0" t="inlineStr">
        <is>
          <t>S02_G03_D</t>
        </is>
      </c>
      <c r="C27" s="3">
        <v>4003.0</v>
      </c>
      <c r="D27" s="3">
        <v>4003.0</v>
      </c>
      <c r="E27" s="3">
        <v>580.0</v>
      </c>
      <c r="F27" s="3">
        <v>577.0</v>
      </c>
      <c r="G27" s="3">
        <v>100.0</v>
      </c>
      <c r="H27" s="3">
        <v>35.34</v>
      </c>
      <c r="I27" s="3">
        <v>35.36</v>
      </c>
      <c r="J27" s="3">
        <v>633.0</v>
      </c>
      <c r="K27" s="3">
        <v>4003.0</v>
      </c>
      <c r="L27" s="3">
        <v>363.0</v>
      </c>
      <c r="M27" s="3">
        <v>340.0</v>
      </c>
      <c r="N27" s="3">
        <v>100.0</v>
      </c>
      <c r="O27" s="3">
        <v>17.54</v>
      </c>
      <c r="P27" s="3">
        <v>17.81</v>
      </c>
      <c r="Q27" s="3">
        <v>578.0</v>
      </c>
      <c r="R27" s="3">
        <f>IF(AND(ISNUMBER(J27),ISNUMBER(Q27)),J27-Q27,"")</f>
        <v>55.0</v>
      </c>
      <c r="S27" s="3">
        <f>H27-O27</f>
        <v>17.8</v>
      </c>
      <c r="T27" s="3">
        <f>I27-P27</f>
        <v>17.55</v>
      </c>
    </row>
    <row r="28">
      <c r="A28" s="0" t="inlineStr">
        <is>
          <t>S02_Partitioned_Rooms</t>
        </is>
      </c>
      <c r="B28" s="0" t="inlineStr">
        <is>
          <t>S02_G04_C</t>
        </is>
      </c>
      <c r="C28" s="3">
        <v>3912.0</v>
      </c>
      <c r="D28" s="3">
        <v>3912.0</v>
      </c>
      <c r="E28" s="3">
        <v>853.0</v>
      </c>
      <c r="F28" s="3">
        <v>849.0</v>
      </c>
      <c r="G28" s="3">
        <v>100.0</v>
      </c>
      <c r="H28" s="3">
        <v>72.97</v>
      </c>
      <c r="I28" s="3">
        <v>94.65</v>
      </c>
      <c r="J28" s="3">
        <v>837.0</v>
      </c>
      <c r="K28" s="3">
        <v>3912.0</v>
      </c>
      <c r="L28" s="3">
        <v>685.0</v>
      </c>
      <c r="M28" s="3">
        <v>644.0</v>
      </c>
      <c r="N28" s="3">
        <v>100.0</v>
      </c>
      <c r="O28" s="3">
        <v>30.04</v>
      </c>
      <c r="P28" s="3">
        <v>31.93</v>
      </c>
      <c r="Q28" s="3">
        <v>720.0</v>
      </c>
      <c r="R28" s="3">
        <f>IF(AND(ISNUMBER(J28),ISNUMBER(Q28)),J28-Q28,"")</f>
        <v>117.0</v>
      </c>
      <c r="S28" s="3">
        <f>H28-O28</f>
        <v>42.93</v>
      </c>
      <c r="T28" s="3">
        <f>I28-P28</f>
        <v>62.72</v>
      </c>
    </row>
    <row r="29">
      <c r="A29" s="0" t="inlineStr">
        <is>
          <t>S02_Partitioned_Rooms</t>
        </is>
      </c>
      <c r="B29" s="0" t="inlineStr">
        <is>
          <t>S02_G04_D</t>
        </is>
      </c>
      <c r="C29" s="3">
        <v>3912.0</v>
      </c>
      <c r="D29" s="3">
        <v>3912.0</v>
      </c>
      <c r="E29" s="3">
        <v>528.0</v>
      </c>
      <c r="F29" s="3">
        <v>517.0</v>
      </c>
      <c r="G29" s="3">
        <v>100.0</v>
      </c>
      <c r="H29" s="3">
        <v>34.67</v>
      </c>
      <c r="I29" s="3">
        <v>38.21</v>
      </c>
      <c r="J29" s="3">
        <v>518.0</v>
      </c>
      <c r="K29" s="3">
        <v>3912.0</v>
      </c>
      <c r="L29" s="3">
        <v>320.0</v>
      </c>
      <c r="M29" s="3">
        <v>303.0</v>
      </c>
      <c r="N29" s="3">
        <v>100.0</v>
      </c>
      <c r="O29" s="3">
        <v>17.5</v>
      </c>
      <c r="P29" s="3">
        <v>17.23</v>
      </c>
      <c r="Q29" s="3">
        <v>532.0</v>
      </c>
      <c r="R29" s="3">
        <f>IF(AND(ISNUMBER(J29),ISNUMBER(Q29)),J29-Q29,"")</f>
        <v>-14.0</v>
      </c>
      <c r="S29" s="3">
        <f>H29-O29</f>
        <v>17.17</v>
      </c>
      <c r="T29" s="3">
        <f>I29-P29</f>
        <v>20.98</v>
      </c>
    </row>
    <row r="30">
      <c r="A30" s="0" t="inlineStr">
        <is>
          <t>S02_Partitioned_Rooms</t>
        </is>
      </c>
      <c r="B30" s="0" t="inlineStr">
        <is>
          <t>S02_G05_C</t>
        </is>
      </c>
      <c r="C30" s="3">
        <v>4003.0</v>
      </c>
      <c r="D30" s="3">
        <v>4003.0</v>
      </c>
      <c r="E30" s="3">
        <v>972.0</v>
      </c>
      <c r="F30" s="3">
        <v>972.0</v>
      </c>
      <c r="G30" s="3">
        <v>100.0</v>
      </c>
      <c r="H30" s="3">
        <v>65.94</v>
      </c>
      <c r="I30" s="3">
        <v>97.79</v>
      </c>
      <c r="J30" s="3">
        <v>732.0</v>
      </c>
      <c r="K30" s="3">
        <v>4003.0</v>
      </c>
      <c r="L30" s="3">
        <v>366.0</v>
      </c>
      <c r="M30" s="3">
        <v>333.0</v>
      </c>
      <c r="N30" s="3">
        <v>100.0</v>
      </c>
      <c r="O30" s="3">
        <v>18.04</v>
      </c>
      <c r="P30" s="3">
        <v>16.89</v>
      </c>
      <c r="Q30" s="3">
        <v>602.0</v>
      </c>
      <c r="R30" s="3">
        <f>IF(AND(ISNUMBER(J30),ISNUMBER(Q30)),J30-Q30,"")</f>
        <v>130.0</v>
      </c>
      <c r="S30" s="3">
        <f>H30-O30</f>
        <v>47.9</v>
      </c>
      <c r="T30" s="3">
        <f>I30-P30</f>
        <v>80.9</v>
      </c>
    </row>
    <row r="31">
      <c r="A31" s="0" t="inlineStr">
        <is>
          <t>S02_Partitioned_Rooms</t>
        </is>
      </c>
      <c r="B31" s="0" t="inlineStr">
        <is>
          <t>S02_G05_D</t>
        </is>
      </c>
      <c r="C31" s="3">
        <v>4003.0</v>
      </c>
      <c r="D31" s="3">
        <v>4003.0</v>
      </c>
      <c r="E31" s="3">
        <v>655.0</v>
      </c>
      <c r="F31" s="3">
        <v>655.0</v>
      </c>
      <c r="G31" s="3">
        <v>100.0</v>
      </c>
      <c r="H31" s="3">
        <v>46.83</v>
      </c>
      <c r="I31" s="3">
        <v>44.41</v>
      </c>
      <c r="J31" s="3">
        <v>697.0</v>
      </c>
      <c r="K31" s="3">
        <v>4003.0</v>
      </c>
      <c r="L31" s="3">
        <v>103.0</v>
      </c>
      <c r="M31" s="3">
        <v>89.0</v>
      </c>
      <c r="N31" s="3">
        <v>100.0</v>
      </c>
      <c r="O31" s="3">
        <v>6.64</v>
      </c>
      <c r="P31" s="3">
        <v>5.97</v>
      </c>
      <c r="Q31" s="3">
        <v>398.0</v>
      </c>
      <c r="R31" s="3">
        <f>IF(AND(ISNUMBER(J31),ISNUMBER(Q31)),J31-Q31,"")</f>
        <v>299.0</v>
      </c>
      <c r="S31" s="3">
        <f>H31-O31</f>
        <v>40.19</v>
      </c>
      <c r="T31" s="3">
        <f>I31-P31</f>
        <v>38.44</v>
      </c>
    </row>
    <row r="32">
      <c r="A32" s="0" t="inlineStr">
        <is>
          <t>S02_Partitioned_Rooms</t>
        </is>
      </c>
      <c r="B32" s="0" t="inlineStr">
        <is>
          <t>S02_G06_C</t>
        </is>
      </c>
      <c r="C32" s="3">
        <v>3962.0</v>
      </c>
      <c r="D32" s="3">
        <v>3962.0</v>
      </c>
      <c r="E32" s="3">
        <v>987.0</v>
      </c>
      <c r="F32" s="3">
        <v>971.0</v>
      </c>
      <c r="G32" s="3">
        <v>100.0</v>
      </c>
      <c r="H32" s="3">
        <v>59.91</v>
      </c>
      <c r="I32" s="3">
        <v>83.49</v>
      </c>
      <c r="J32" s="3">
        <v>730.0</v>
      </c>
      <c r="K32" s="3">
        <v>3962.0</v>
      </c>
      <c r="L32" s="3">
        <v>209.0</v>
      </c>
      <c r="M32" s="3">
        <v>196.0</v>
      </c>
      <c r="N32" s="3">
        <v>100.0</v>
      </c>
      <c r="O32" s="3">
        <v>11.32</v>
      </c>
      <c r="P32" s="3">
        <v>11.81</v>
      </c>
      <c r="Q32" s="3">
        <v>468.0</v>
      </c>
      <c r="R32" s="3">
        <f>IF(AND(ISNUMBER(J32),ISNUMBER(Q32)),J32-Q32,"")</f>
        <v>262.0</v>
      </c>
      <c r="S32" s="3">
        <f>H32-O32</f>
        <v>48.59</v>
      </c>
      <c r="T32" s="3">
        <f>I32-P32</f>
        <v>71.68</v>
      </c>
    </row>
    <row r="33">
      <c r="A33" s="0" t="inlineStr">
        <is>
          <t>S02_Partitioned_Rooms</t>
        </is>
      </c>
      <c r="B33" s="0" t="inlineStr">
        <is>
          <t>S02_G06_D</t>
        </is>
      </c>
      <c r="C33" s="3">
        <v>3962.0</v>
      </c>
      <c r="D33" s="3">
        <v>3962.0</v>
      </c>
      <c r="E33" s="3">
        <v>722.0</v>
      </c>
      <c r="F33" s="3">
        <v>678.0</v>
      </c>
      <c r="G33" s="3">
        <v>100.0</v>
      </c>
      <c r="H33" s="3">
        <v>52.21</v>
      </c>
      <c r="I33" s="3">
        <v>47.92</v>
      </c>
      <c r="J33" s="3">
        <v>742.0</v>
      </c>
      <c r="K33" s="3">
        <v>3962.0</v>
      </c>
      <c r="L33" s="3">
        <v>268.0</v>
      </c>
      <c r="M33" s="3">
        <v>230.0</v>
      </c>
      <c r="N33" s="3">
        <v>100.0</v>
      </c>
      <c r="O33" s="3">
        <v>14.6</v>
      </c>
      <c r="P33" s="3">
        <v>13.8</v>
      </c>
      <c r="Q33" s="3">
        <v>487.0</v>
      </c>
      <c r="R33" s="3">
        <f>IF(AND(ISNUMBER(J33),ISNUMBER(Q33)),J33-Q33,"")</f>
        <v>255.0</v>
      </c>
      <c r="S33" s="3">
        <f>H33-O33</f>
        <v>37.61</v>
      </c>
      <c r="T33" s="3">
        <f>I33-P33</f>
        <v>34.12</v>
      </c>
    </row>
    <row r="34">
      <c r="A34" s="0" t="inlineStr">
        <is>
          <t>S02_Partitioned_Rooms</t>
        </is>
      </c>
      <c r="B34" s="0" t="inlineStr">
        <is>
          <t>S02_G07_C</t>
        </is>
      </c>
      <c r="C34" s="3">
        <v>3960.0</v>
      </c>
      <c r="D34" s="3">
        <v>3960.0</v>
      </c>
      <c r="E34" s="3">
        <v>782.0</v>
      </c>
      <c r="F34" s="3">
        <v>782.0</v>
      </c>
      <c r="G34" s="3">
        <v>100.0</v>
      </c>
      <c r="H34" s="3">
        <v>70.09</v>
      </c>
      <c r="I34" s="3">
        <v>97.75</v>
      </c>
      <c r="J34" s="3">
        <v>671.0</v>
      </c>
      <c r="K34" s="3">
        <v>3960.0</v>
      </c>
      <c r="L34" s="3">
        <v>437.0</v>
      </c>
      <c r="M34" s="3">
        <v>384.0</v>
      </c>
      <c r="N34" s="3">
        <v>100.0</v>
      </c>
      <c r="O34" s="3">
        <v>21.0</v>
      </c>
      <c r="P34" s="3">
        <v>20.17</v>
      </c>
      <c r="Q34" s="3">
        <v>603.0</v>
      </c>
      <c r="R34" s="3">
        <f>IF(AND(ISNUMBER(J34),ISNUMBER(Q34)),J34-Q34,"")</f>
        <v>68.0</v>
      </c>
      <c r="S34" s="3">
        <f>H34-O34</f>
        <v>49.09</v>
      </c>
      <c r="T34" s="3">
        <f>I34-P34</f>
        <v>77.58</v>
      </c>
    </row>
    <row r="35">
      <c r="A35" s="0" t="inlineStr">
        <is>
          <t>S02_Partitioned_Rooms</t>
        </is>
      </c>
      <c r="B35" s="0" t="inlineStr">
        <is>
          <t>S02_G07_D</t>
        </is>
      </c>
      <c r="C35" s="3">
        <v>3960.0</v>
      </c>
      <c r="D35" s="3">
        <v>3960.0</v>
      </c>
      <c r="E35" s="3">
        <v>673.0</v>
      </c>
      <c r="F35" s="3">
        <v>662.0</v>
      </c>
      <c r="G35" s="3">
        <v>100.0</v>
      </c>
      <c r="H35" s="3">
        <v>48.23</v>
      </c>
      <c r="I35" s="3">
        <v>54.58</v>
      </c>
      <c r="J35" s="3">
        <v>586.0</v>
      </c>
      <c r="K35" s="3">
        <v>3960.0</v>
      </c>
      <c r="L35" s="3">
        <v>385.0</v>
      </c>
      <c r="M35" s="3">
        <v>361.0</v>
      </c>
      <c r="N35" s="3">
        <v>100.0</v>
      </c>
      <c r="O35" s="3">
        <v>19.15</v>
      </c>
      <c r="P35" s="3">
        <v>18.47</v>
      </c>
      <c r="Q35" s="3">
        <v>604.0</v>
      </c>
      <c r="R35" s="3">
        <f>IF(AND(ISNUMBER(J35),ISNUMBER(Q35)),J35-Q35,"")</f>
        <v>-18.0</v>
      </c>
      <c r="S35" s="3">
        <f>H35-O35</f>
        <v>29.08</v>
      </c>
      <c r="T35" s="3">
        <f>I35-P35</f>
        <v>36.11</v>
      </c>
    </row>
    <row r="36">
      <c r="A36" s="0" t="inlineStr">
        <is>
          <t>S02_Partitioned_Rooms</t>
        </is>
      </c>
      <c r="B36" s="0" t="inlineStr">
        <is>
          <t>S02_G08_C</t>
        </is>
      </c>
      <c r="C36" s="3">
        <v>3962.0</v>
      </c>
      <c r="D36" s="3">
        <v>3962.0</v>
      </c>
      <c r="E36" s="3">
        <v>1067.0</v>
      </c>
      <c r="F36" s="3">
        <v>1067.0</v>
      </c>
      <c r="G36" s="3">
        <v>100.0</v>
      </c>
      <c r="H36" s="3">
        <v>56.2</v>
      </c>
      <c r="I36" s="3">
        <v>94.68</v>
      </c>
      <c r="J36" s="3">
        <v>646.0</v>
      </c>
      <c r="K36" s="3">
        <v>3962.0</v>
      </c>
      <c r="L36" s="3">
        <v>419.0</v>
      </c>
      <c r="M36" s="3">
        <v>384.0</v>
      </c>
      <c r="N36" s="3">
        <v>100.0</v>
      </c>
      <c r="O36" s="3">
        <v>23.43</v>
      </c>
      <c r="P36" s="3">
        <v>21.72</v>
      </c>
      <c r="Q36" s="3">
        <v>577.0</v>
      </c>
      <c r="R36" s="3">
        <f>IF(AND(ISNUMBER(J36),ISNUMBER(Q36)),J36-Q36,"")</f>
        <v>69.0</v>
      </c>
      <c r="S36" s="3">
        <f>H36-O36</f>
        <v>32.77</v>
      </c>
      <c r="T36" s="3">
        <f>I36-P36</f>
        <v>72.96</v>
      </c>
    </row>
    <row r="37">
      <c r="A37" s="0" t="inlineStr">
        <is>
          <t>S02_Partitioned_Rooms</t>
        </is>
      </c>
      <c r="B37" s="0" t="inlineStr">
        <is>
          <t>S02_G08_D</t>
        </is>
      </c>
      <c r="C37" s="3">
        <v>3962.0</v>
      </c>
      <c r="D37" s="3">
        <v>3962.0</v>
      </c>
      <c r="E37" s="3">
        <v>699.0</v>
      </c>
      <c r="F37" s="3">
        <v>679.0</v>
      </c>
      <c r="G37" s="3">
        <v>100.0</v>
      </c>
      <c r="H37" s="3">
        <v>50.44</v>
      </c>
      <c r="I37" s="3">
        <v>50.26</v>
      </c>
      <c r="J37" s="3">
        <v>683.0</v>
      </c>
      <c r="K37" s="3">
        <v>3962.0</v>
      </c>
      <c r="L37" s="3">
        <v>348.0</v>
      </c>
      <c r="M37" s="3">
        <v>331.0</v>
      </c>
      <c r="N37" s="3">
        <v>100.0</v>
      </c>
      <c r="O37" s="3">
        <v>19.49</v>
      </c>
      <c r="P37" s="3">
        <v>19.03</v>
      </c>
      <c r="Q37" s="3">
        <v>539.0</v>
      </c>
      <c r="R37" s="3">
        <f>IF(AND(ISNUMBER(J37),ISNUMBER(Q37)),J37-Q37,"")</f>
        <v>144.0</v>
      </c>
      <c r="S37" s="3">
        <f>H37-O37</f>
        <v>30.95</v>
      </c>
      <c r="T37" s="3">
        <f>I37-P37</f>
        <v>31.23</v>
      </c>
    </row>
    <row r="38">
      <c r="A38" s="0" t="inlineStr">
        <is>
          <t>S02_Partitioned_Rooms</t>
        </is>
      </c>
      <c r="B38" s="0" t="inlineStr">
        <is>
          <t>S02_G09_C</t>
        </is>
      </c>
      <c r="C38" s="3">
        <v>4003.0</v>
      </c>
      <c r="D38" s="3">
        <v>4003.0</v>
      </c>
      <c r="E38" s="3">
        <v>826.0</v>
      </c>
      <c r="F38" s="3">
        <v>815.0</v>
      </c>
      <c r="G38" s="3">
        <v>100.0</v>
      </c>
      <c r="H38" s="3">
        <v>62.35</v>
      </c>
      <c r="I38" s="3">
        <v>82.74</v>
      </c>
      <c r="J38" s="3">
        <v>654.0</v>
      </c>
      <c r="K38" s="3">
        <v>4003.0</v>
      </c>
      <c r="L38" s="3">
        <v>412.0</v>
      </c>
      <c r="M38" s="3">
        <v>381.0</v>
      </c>
      <c r="N38" s="3">
        <v>100.0</v>
      </c>
      <c r="O38" s="3">
        <v>20.44</v>
      </c>
      <c r="P38" s="3">
        <v>19.9</v>
      </c>
      <c r="Q38" s="3">
        <v>602.0</v>
      </c>
      <c r="R38" s="3">
        <f>IF(AND(ISNUMBER(J38),ISNUMBER(Q38)),J38-Q38,"")</f>
        <v>52.0</v>
      </c>
      <c r="S38" s="3">
        <f>H38-O38</f>
        <v>41.91</v>
      </c>
      <c r="T38" s="3">
        <f>I38-P38</f>
        <v>62.84</v>
      </c>
    </row>
    <row r="39">
      <c r="A39" s="0" t="inlineStr">
        <is>
          <t>S02_Partitioned_Rooms</t>
        </is>
      </c>
      <c r="B39" s="0" t="inlineStr">
        <is>
          <t>S02_G09_D</t>
        </is>
      </c>
      <c r="C39" s="3">
        <v>4003.0</v>
      </c>
      <c r="D39" s="3">
        <v>4003.0</v>
      </c>
      <c r="E39" s="3">
        <v>687.0</v>
      </c>
      <c r="F39" s="3">
        <v>687.0</v>
      </c>
      <c r="G39" s="3">
        <v>100.0</v>
      </c>
      <c r="H39" s="3">
        <v>47.21</v>
      </c>
      <c r="I39" s="3">
        <v>47.74</v>
      </c>
      <c r="J39" s="3">
        <v>683.0</v>
      </c>
      <c r="K39" s="3">
        <v>4003.0</v>
      </c>
      <c r="L39" s="3">
        <v>384.0</v>
      </c>
      <c r="M39" s="3">
        <v>338.0</v>
      </c>
      <c r="N39" s="3">
        <v>100.0</v>
      </c>
      <c r="O39" s="3">
        <v>19.41</v>
      </c>
      <c r="P39" s="3">
        <v>18.42</v>
      </c>
      <c r="Q39" s="3">
        <v>569.0</v>
      </c>
      <c r="R39" s="3">
        <f>IF(AND(ISNUMBER(J39),ISNUMBER(Q39)),J39-Q39,"")</f>
        <v>114.0</v>
      </c>
      <c r="S39" s="3">
        <f>H39-O39</f>
        <v>27.8</v>
      </c>
      <c r="T39" s="3">
        <f>I39-P39</f>
        <v>29.32</v>
      </c>
    </row>
    <row r="40">
      <c r="A40" s="0" t="inlineStr">
        <is>
          <t>S02_Partitioned_Rooms</t>
        </is>
      </c>
      <c r="B40" s="0" t="inlineStr">
        <is>
          <t>S02_G10_C</t>
        </is>
      </c>
      <c r="C40" s="3">
        <v>3912.0</v>
      </c>
      <c r="D40" s="3">
        <v>3912.0</v>
      </c>
      <c r="E40" s="3">
        <v>682.0</v>
      </c>
      <c r="F40" s="3">
        <v>670.0</v>
      </c>
      <c r="G40" s="3">
        <v>100.0</v>
      </c>
      <c r="H40" s="3">
        <v>59.35</v>
      </c>
      <c r="I40" s="3">
        <v>59.4</v>
      </c>
      <c r="J40" s="3">
        <v>695.0</v>
      </c>
      <c r="K40" s="3">
        <v>3912.0</v>
      </c>
      <c r="L40" s="3">
        <v>465.0</v>
      </c>
      <c r="M40" s="3">
        <v>426.0</v>
      </c>
      <c r="N40" s="3">
        <v>100.0</v>
      </c>
      <c r="O40" s="3">
        <v>25.38</v>
      </c>
      <c r="P40" s="3">
        <v>24.36</v>
      </c>
      <c r="Q40" s="3">
        <v>586.0</v>
      </c>
      <c r="R40" s="3">
        <f>IF(AND(ISNUMBER(J40),ISNUMBER(Q40)),J40-Q40,"")</f>
        <v>109.0</v>
      </c>
      <c r="S40" s="3">
        <f>H40-O40</f>
        <v>33.97</v>
      </c>
      <c r="T40" s="3">
        <f>I40-P40</f>
        <v>35.04</v>
      </c>
    </row>
    <row r="41">
      <c r="A41" s="0" t="inlineStr">
        <is>
          <t>S02_Partitioned_Rooms</t>
        </is>
      </c>
      <c r="B41" s="0" t="inlineStr">
        <is>
          <t>S02_G10_D</t>
        </is>
      </c>
      <c r="C41" s="3">
        <v>3912.0</v>
      </c>
      <c r="D41" s="3">
        <v>3912.0</v>
      </c>
      <c r="E41" s="3">
        <v>666.0</v>
      </c>
      <c r="F41" s="3">
        <v>635.0</v>
      </c>
      <c r="G41" s="3">
        <v>100.0</v>
      </c>
      <c r="H41" s="3">
        <v>43.39</v>
      </c>
      <c r="I41" s="3">
        <v>47.53</v>
      </c>
      <c r="J41" s="3">
        <v>589.0</v>
      </c>
      <c r="K41" s="3">
        <v>3912.0</v>
      </c>
      <c r="L41" s="3">
        <v>360.0</v>
      </c>
      <c r="M41" s="3">
        <v>321.0</v>
      </c>
      <c r="N41" s="3">
        <v>100.0</v>
      </c>
      <c r="O41" s="3">
        <v>19.68</v>
      </c>
      <c r="P41" s="3">
        <v>18.99</v>
      </c>
      <c r="Q41" s="3">
        <v>527.0</v>
      </c>
      <c r="R41" s="3">
        <f>IF(AND(ISNUMBER(J41),ISNUMBER(Q41)),J41-Q41,"")</f>
        <v>62.0</v>
      </c>
      <c r="S41" s="3">
        <f>H41-O41</f>
        <v>23.71</v>
      </c>
      <c r="T41" s="3">
        <f>I41-P41</f>
        <v>28.54</v>
      </c>
    </row>
    <row r="42">
      <c r="A42" s="0" t="inlineStr">
        <is>
          <t>S03_Branching_Corridors</t>
        </is>
      </c>
      <c r="B42" s="0" t="inlineStr">
        <is>
          <t>S03_G01_C</t>
        </is>
      </c>
      <c r="C42" s="3">
        <v>1535.0</v>
      </c>
      <c r="D42" s="3">
        <v>1535.0</v>
      </c>
      <c r="E42" s="3">
        <v>401.0</v>
      </c>
      <c r="F42" s="3">
        <v>395.0</v>
      </c>
      <c r="G42" s="3">
        <v>100.0</v>
      </c>
      <c r="H42" s="3">
        <v>64.53</v>
      </c>
      <c r="I42" s="3">
        <v>65.61</v>
      </c>
      <c r="J42" s="3">
        <v>426.0</v>
      </c>
      <c r="K42" s="3">
        <v>1535.0</v>
      </c>
      <c r="L42" s="3">
        <v>246.0</v>
      </c>
      <c r="M42" s="3">
        <v>236.0</v>
      </c>
      <c r="N42" s="3">
        <v>100.0</v>
      </c>
      <c r="O42" s="3">
        <v>25.02</v>
      </c>
      <c r="P42" s="3">
        <v>29.5</v>
      </c>
      <c r="Q42" s="3">
        <v>266.0</v>
      </c>
      <c r="R42" s="3">
        <f>IF(AND(ISNUMBER(J42),ISNUMBER(Q42)),J42-Q42,"")</f>
        <v>160.0</v>
      </c>
      <c r="S42" s="3">
        <f>H42-O42</f>
        <v>39.51</v>
      </c>
      <c r="T42" s="3">
        <f>I42-P42</f>
        <v>36.11</v>
      </c>
    </row>
    <row r="43">
      <c r="A43" s="0" t="inlineStr">
        <is>
          <t>S03_Branching_Corridors</t>
        </is>
      </c>
      <c r="B43" s="0" t="inlineStr">
        <is>
          <t>S03_G01_D</t>
        </is>
      </c>
      <c r="C43" s="3">
        <v>1535.0</v>
      </c>
      <c r="D43" s="3">
        <v>1535.0</v>
      </c>
      <c r="E43" s="3">
        <v>259.0</v>
      </c>
      <c r="F43" s="3">
        <v>251.0</v>
      </c>
      <c r="G43" s="3">
        <v>100.0</v>
      </c>
      <c r="H43" s="3">
        <v>41.34</v>
      </c>
      <c r="I43" s="3">
        <v>41.42</v>
      </c>
      <c r="J43" s="3">
        <v>259.0</v>
      </c>
      <c r="K43" s="3">
        <v>1535.0</v>
      </c>
      <c r="L43" s="3">
        <v>58.0</v>
      </c>
      <c r="M43" s="3">
        <v>51.0</v>
      </c>
      <c r="N43" s="3">
        <v>100.0</v>
      </c>
      <c r="O43" s="3">
        <v>10.21</v>
      </c>
      <c r="P43" s="3">
        <v>8.66</v>
      </c>
      <c r="Q43" s="3">
        <v>163.0</v>
      </c>
      <c r="R43" s="3">
        <f>IF(AND(ISNUMBER(J43),ISNUMBER(Q43)),J43-Q43,"")</f>
        <v>96.0</v>
      </c>
      <c r="S43" s="3">
        <f>H43-O43</f>
        <v>31.13</v>
      </c>
      <c r="T43" s="3">
        <f>I43-P43</f>
        <v>32.76</v>
      </c>
    </row>
    <row r="44">
      <c r="A44" s="0" t="inlineStr">
        <is>
          <t>S03_Branching_Corridors</t>
        </is>
      </c>
      <c r="B44" s="0" t="inlineStr">
        <is>
          <t>S03_G02_C</t>
        </is>
      </c>
      <c r="C44" s="3">
        <v>1535.0</v>
      </c>
      <c r="D44" s="3">
        <v>1535.0</v>
      </c>
      <c r="E44" s="3">
        <v>324.0</v>
      </c>
      <c r="F44" s="3">
        <v>316.0</v>
      </c>
      <c r="G44" s="3">
        <v>100.0</v>
      </c>
      <c r="H44" s="3">
        <v>61.42</v>
      </c>
      <c r="I44" s="3">
        <v>59.96</v>
      </c>
      <c r="J44" s="3">
        <v>345.0</v>
      </c>
      <c r="K44" s="3">
        <v>1535.0</v>
      </c>
      <c r="L44" s="3">
        <v>169.0</v>
      </c>
      <c r="M44" s="3">
        <v>159.0</v>
      </c>
      <c r="N44" s="3">
        <v>100.0</v>
      </c>
      <c r="O44" s="3">
        <v>21.57</v>
      </c>
      <c r="P44" s="3">
        <v>22.78</v>
      </c>
      <c r="Q44" s="3">
        <v>223.0</v>
      </c>
      <c r="R44" s="3">
        <f>IF(AND(ISNUMBER(J44),ISNUMBER(Q44)),J44-Q44,"")</f>
        <v>122.0</v>
      </c>
      <c r="S44" s="3">
        <f>H44-O44</f>
        <v>39.85</v>
      </c>
      <c r="T44" s="3">
        <f>I44-P44</f>
        <v>37.18</v>
      </c>
    </row>
    <row r="45">
      <c r="A45" s="0" t="inlineStr">
        <is>
          <t>S03_Branching_Corridors</t>
        </is>
      </c>
      <c r="B45" s="0" t="inlineStr">
        <is>
          <t>S03_G02_D</t>
        </is>
      </c>
      <c r="C45" s="3">
        <v>1535.0</v>
      </c>
      <c r="D45" s="3">
        <v>1535.0</v>
      </c>
      <c r="E45" s="3">
        <v>449.0</v>
      </c>
      <c r="F45" s="3">
        <v>426.0</v>
      </c>
      <c r="G45" s="3">
        <v>100.0</v>
      </c>
      <c r="H45" s="3">
        <v>49.49</v>
      </c>
      <c r="I45" s="3">
        <v>54.2</v>
      </c>
      <c r="J45" s="3">
        <v>389.0</v>
      </c>
      <c r="K45" s="3">
        <v>1535.0</v>
      </c>
      <c r="L45" s="3">
        <v>80.0</v>
      </c>
      <c r="M45" s="3">
        <v>65.0</v>
      </c>
      <c r="N45" s="3">
        <v>100.0</v>
      </c>
      <c r="O45" s="3">
        <v>11.69</v>
      </c>
      <c r="P45" s="3">
        <v>9.05</v>
      </c>
      <c r="Q45" s="3">
        <v>203.0</v>
      </c>
      <c r="R45" s="3">
        <f>IF(AND(ISNUMBER(J45),ISNUMBER(Q45)),J45-Q45,"")</f>
        <v>186.0</v>
      </c>
      <c r="S45" s="3">
        <f>H45-O45</f>
        <v>37.8</v>
      </c>
      <c r="T45" s="3">
        <f>I45-P45</f>
        <v>45.15</v>
      </c>
    </row>
    <row r="46">
      <c r="A46" s="0" t="inlineStr">
        <is>
          <t>S03_Branching_Corridors</t>
        </is>
      </c>
      <c r="B46" s="0" t="inlineStr">
        <is>
          <t>S03_G03_C</t>
        </is>
      </c>
      <c r="C46" s="3">
        <v>1535.0</v>
      </c>
      <c r="D46" s="3">
        <v>1535.0</v>
      </c>
      <c r="E46" s="3">
        <v>469.0</v>
      </c>
      <c r="F46" s="3">
        <v>467.0</v>
      </c>
      <c r="G46" s="3">
        <v>100.0</v>
      </c>
      <c r="H46" s="3">
        <v>77.54</v>
      </c>
      <c r="I46" s="3">
        <v>94.73</v>
      </c>
      <c r="J46" s="3">
        <v>555.0</v>
      </c>
      <c r="K46" s="3">
        <v>1535.0</v>
      </c>
      <c r="L46" s="3">
        <v>155.0</v>
      </c>
      <c r="M46" s="3">
        <v>147.0</v>
      </c>
      <c r="N46" s="3">
        <v>100.0</v>
      </c>
      <c r="O46" s="3">
        <v>17.29</v>
      </c>
      <c r="P46" s="3">
        <v>18.51</v>
      </c>
      <c r="Q46" s="3">
        <v>241.0</v>
      </c>
      <c r="R46" s="3">
        <f>IF(AND(ISNUMBER(J46),ISNUMBER(Q46)),J46-Q46,"")</f>
        <v>314.0</v>
      </c>
      <c r="S46" s="3">
        <f>H46-O46</f>
        <v>60.25</v>
      </c>
      <c r="T46" s="3">
        <f>I46-P46</f>
        <v>76.22</v>
      </c>
    </row>
    <row r="47">
      <c r="A47" s="0" t="inlineStr">
        <is>
          <t>S03_Branching_Corridors</t>
        </is>
      </c>
      <c r="B47" s="0" t="inlineStr">
        <is>
          <t>S03_G03_D</t>
        </is>
      </c>
      <c r="C47" s="3">
        <v>1535.0</v>
      </c>
      <c r="D47" s="3">
        <v>1535.0</v>
      </c>
      <c r="E47" s="3">
        <v>75.0</v>
      </c>
      <c r="F47" s="3">
        <v>67.0</v>
      </c>
      <c r="G47" s="3">
        <v>100.0</v>
      </c>
      <c r="H47" s="3">
        <v>18.53</v>
      </c>
      <c r="I47" s="3">
        <v>17.72</v>
      </c>
      <c r="J47" s="3">
        <v>115.0</v>
      </c>
      <c r="K47" s="3">
        <v>1535.0</v>
      </c>
      <c r="L47" s="3">
        <v>15.0</v>
      </c>
      <c r="M47" s="3">
        <v>7.0</v>
      </c>
      <c r="N47" s="3">
        <v>100.0</v>
      </c>
      <c r="O47" s="3">
        <v>3.21</v>
      </c>
      <c r="P47" s="3">
        <v>1.55</v>
      </c>
      <c r="Q47" s="3">
        <v>116.0</v>
      </c>
      <c r="R47" s="3">
        <f>IF(AND(ISNUMBER(J47),ISNUMBER(Q47)),J47-Q47,"")</f>
        <v>-1.0</v>
      </c>
      <c r="S47" s="3">
        <f>H47-O47</f>
        <v>15.32</v>
      </c>
      <c r="T47" s="3">
        <f>I47-P47</f>
        <v>16.17</v>
      </c>
    </row>
    <row r="48">
      <c r="A48" s="0" t="inlineStr">
        <is>
          <t>S03_Branching_Corridors</t>
        </is>
      </c>
      <c r="B48" s="0" t="inlineStr">
        <is>
          <t>S03_G04_C</t>
        </is>
      </c>
      <c r="C48" s="3">
        <v>1465.0</v>
      </c>
      <c r="D48" s="3">
        <v>1465.0</v>
      </c>
      <c r="E48" s="3">
        <v>517.0</v>
      </c>
      <c r="F48" s="3">
        <v>517.0</v>
      </c>
      <c r="G48" s="3">
        <v>100.0</v>
      </c>
      <c r="H48" s="3">
        <v>74.83</v>
      </c>
      <c r="I48" s="3">
        <v>99.23</v>
      </c>
      <c r="J48" s="3">
        <v>517.0</v>
      </c>
      <c r="K48" s="3">
        <v>1465.0</v>
      </c>
      <c r="L48" s="3">
        <v>610.0</v>
      </c>
      <c r="M48" s="3">
        <v>580.0</v>
      </c>
      <c r="N48" s="3">
        <v>100.0</v>
      </c>
      <c r="O48" s="3">
        <v>54.22</v>
      </c>
      <c r="P48" s="3">
        <v>61.83</v>
      </c>
      <c r="Q48" s="3">
        <v>515.0</v>
      </c>
      <c r="R48" s="3">
        <f>IF(AND(ISNUMBER(J48),ISNUMBER(Q48)),J48-Q48,"")</f>
        <v>2.0</v>
      </c>
      <c r="S48" s="3">
        <f>H48-O48</f>
        <v>20.61</v>
      </c>
      <c r="T48" s="3">
        <f>I48-P48</f>
        <v>37.4</v>
      </c>
    </row>
    <row r="49">
      <c r="A49" s="0" t="inlineStr">
        <is>
          <t>S03_Branching_Corridors</t>
        </is>
      </c>
      <c r="B49" s="0" t="inlineStr">
        <is>
          <t>S03_G04_D</t>
        </is>
      </c>
      <c r="C49" s="3">
        <v>1465.0</v>
      </c>
      <c r="D49" s="3">
        <v>1465.0</v>
      </c>
      <c r="E49" s="3">
        <v>32.0</v>
      </c>
      <c r="F49" s="3">
        <v>32.0</v>
      </c>
      <c r="G49" s="3">
        <v>100.0</v>
      </c>
      <c r="H49" s="3">
        <v>6.65</v>
      </c>
      <c r="I49" s="3">
        <v>7.13</v>
      </c>
      <c r="J49" s="3">
        <v>120.0</v>
      </c>
      <c r="K49" s="3">
        <v>1465.0</v>
      </c>
      <c r="L49" s="3">
        <v>7.0</v>
      </c>
      <c r="M49" s="3">
        <v>7.0</v>
      </c>
      <c r="N49" s="3">
        <v>100.0</v>
      </c>
      <c r="O49" s="3">
        <v>1.46</v>
      </c>
      <c r="P49" s="3">
        <v>1.48</v>
      </c>
      <c r="Q49" s="3">
        <v>119.0</v>
      </c>
      <c r="R49" s="3">
        <f>IF(AND(ISNUMBER(J49),ISNUMBER(Q49)),J49-Q49,"")</f>
        <v>1.0</v>
      </c>
      <c r="S49" s="3">
        <f>H49-O49</f>
        <v>5.19</v>
      </c>
      <c r="T49" s="3">
        <f>I49-P49</f>
        <v>5.65</v>
      </c>
    </row>
    <row r="50">
      <c r="A50" s="0" t="inlineStr">
        <is>
          <t>S03_Branching_Corridors</t>
        </is>
      </c>
      <c r="B50" s="0" t="inlineStr">
        <is>
          <t>S03_G05_C</t>
        </is>
      </c>
      <c r="C50" s="3">
        <v>1605.0</v>
      </c>
      <c r="D50" s="3">
        <v>1605.0</v>
      </c>
      <c r="E50" s="3">
        <v>467.0</v>
      </c>
      <c r="F50" s="3">
        <v>467.0</v>
      </c>
      <c r="G50" s="3">
        <v>100.0</v>
      </c>
      <c r="H50" s="3">
        <v>73.42</v>
      </c>
      <c r="I50" s="3">
        <v>86.96</v>
      </c>
      <c r="J50" s="3">
        <v>513.0</v>
      </c>
      <c r="K50" s="3">
        <v>1605.0</v>
      </c>
      <c r="L50" s="3">
        <v>138.0</v>
      </c>
      <c r="M50" s="3">
        <v>123.0</v>
      </c>
      <c r="N50" s="3">
        <v>100.0</v>
      </c>
      <c r="O50" s="3">
        <v>16.15</v>
      </c>
      <c r="P50" s="3">
        <v>16.12</v>
      </c>
      <c r="Q50" s="3">
        <v>228.0</v>
      </c>
      <c r="R50" s="3">
        <f>IF(AND(ISNUMBER(J50),ISNUMBER(Q50)),J50-Q50,"")</f>
        <v>285.0</v>
      </c>
      <c r="S50" s="3">
        <f>H50-O50</f>
        <v>57.27</v>
      </c>
      <c r="T50" s="3">
        <f>I50-P50</f>
        <v>70.84</v>
      </c>
    </row>
    <row r="51">
      <c r="A51" s="0" t="inlineStr">
        <is>
          <t>S03_Branching_Corridors</t>
        </is>
      </c>
      <c r="B51" s="0" t="inlineStr">
        <is>
          <t>S03_G05_D</t>
        </is>
      </c>
      <c r="C51" s="3">
        <v>1605.0</v>
      </c>
      <c r="D51" s="3">
        <v>1605.0</v>
      </c>
      <c r="E51" s="3">
        <v>359.0</v>
      </c>
      <c r="F51" s="3">
        <v>305.0</v>
      </c>
      <c r="G51" s="3">
        <v>100.0</v>
      </c>
      <c r="H51" s="3">
        <v>40.92</v>
      </c>
      <c r="I51" s="3">
        <v>42.24</v>
      </c>
      <c r="J51" s="3">
        <v>305.0</v>
      </c>
      <c r="K51" s="3">
        <v>1605.0</v>
      </c>
      <c r="L51" s="3">
        <v>143.0</v>
      </c>
      <c r="M51" s="3">
        <v>129.0</v>
      </c>
      <c r="N51" s="3">
        <v>100.0</v>
      </c>
      <c r="O51" s="3">
        <v>17.49</v>
      </c>
      <c r="P51" s="3">
        <v>16.88</v>
      </c>
      <c r="Q51" s="3">
        <v>232.0</v>
      </c>
      <c r="R51" s="3">
        <f>IF(AND(ISNUMBER(J51),ISNUMBER(Q51)),J51-Q51,"")</f>
        <v>73.0</v>
      </c>
      <c r="S51" s="3">
        <f>H51-O51</f>
        <v>23.43</v>
      </c>
      <c r="T51" s="3">
        <f>I51-P51</f>
        <v>25.36</v>
      </c>
    </row>
    <row r="52">
      <c r="A52" s="0" t="inlineStr">
        <is>
          <t>S03_Branching_Corridors</t>
        </is>
      </c>
      <c r="B52" s="0" t="inlineStr">
        <is>
          <t>S03_G06_C</t>
        </is>
      </c>
      <c r="C52" s="3">
        <v>1570.0</v>
      </c>
      <c r="D52" s="3">
        <v>1570.0</v>
      </c>
      <c r="E52" s="3">
        <v>475.0</v>
      </c>
      <c r="F52" s="3">
        <v>475.0</v>
      </c>
      <c r="G52" s="3">
        <v>100.0</v>
      </c>
      <c r="H52" s="3">
        <v>76.52</v>
      </c>
      <c r="I52" s="3">
        <v>99.37</v>
      </c>
      <c r="J52" s="3">
        <v>509.0</v>
      </c>
      <c r="K52" s="3">
        <v>1570.0</v>
      </c>
      <c r="L52" s="3">
        <v>290.0</v>
      </c>
      <c r="M52" s="3">
        <v>276.0</v>
      </c>
      <c r="N52" s="3">
        <v>100.0</v>
      </c>
      <c r="O52" s="3">
        <v>28.61</v>
      </c>
      <c r="P52" s="3">
        <v>35.57</v>
      </c>
      <c r="Q52" s="3">
        <v>272.0</v>
      </c>
      <c r="R52" s="3">
        <f>IF(AND(ISNUMBER(J52),ISNUMBER(Q52)),J52-Q52,"")</f>
        <v>237.0</v>
      </c>
      <c r="S52" s="3">
        <f>H52-O52</f>
        <v>47.91</v>
      </c>
      <c r="T52" s="3">
        <f>I52-P52</f>
        <v>63.8</v>
      </c>
    </row>
    <row r="53">
      <c r="A53" s="0" t="inlineStr">
        <is>
          <t>S03_Branching_Corridors</t>
        </is>
      </c>
      <c r="B53" s="0" t="inlineStr">
        <is>
          <t>S03_G06_D</t>
        </is>
      </c>
      <c r="C53" s="3">
        <v>1570.0</v>
      </c>
      <c r="D53" s="3">
        <v>1570.0</v>
      </c>
      <c r="E53" s="3">
        <v>198.0</v>
      </c>
      <c r="F53" s="3">
        <v>193.0</v>
      </c>
      <c r="G53" s="3">
        <v>100.0</v>
      </c>
      <c r="H53" s="3">
        <v>24.11</v>
      </c>
      <c r="I53" s="3">
        <v>30.06</v>
      </c>
      <c r="J53" s="3">
        <v>212.0</v>
      </c>
      <c r="K53" s="3">
        <v>1570.0</v>
      </c>
      <c r="L53" s="3">
        <v>158.0</v>
      </c>
      <c r="M53" s="3">
        <v>117.0</v>
      </c>
      <c r="N53" s="3">
        <v>100.0</v>
      </c>
      <c r="O53" s="3">
        <v>19.67</v>
      </c>
      <c r="P53" s="3">
        <v>17.26</v>
      </c>
      <c r="Q53" s="3">
        <v>210.0</v>
      </c>
      <c r="R53" s="3">
        <f>IF(AND(ISNUMBER(J53),ISNUMBER(Q53)),J53-Q53,"")</f>
        <v>2.0</v>
      </c>
      <c r="S53" s="3">
        <f>H53-O53</f>
        <v>4.44</v>
      </c>
      <c r="T53" s="3">
        <f>I53-P53</f>
        <v>12.8</v>
      </c>
    </row>
    <row r="54">
      <c r="A54" s="0" t="inlineStr">
        <is>
          <t>S03_Branching_Corridors</t>
        </is>
      </c>
      <c r="B54" s="0" t="inlineStr">
        <is>
          <t>S03_G07_C</t>
        </is>
      </c>
      <c r="C54" s="3">
        <v>1570.0</v>
      </c>
      <c r="D54" s="3">
        <v>1570.0</v>
      </c>
      <c r="E54" s="3">
        <v>463.0</v>
      </c>
      <c r="F54" s="3">
        <v>463.0</v>
      </c>
      <c r="G54" s="3">
        <v>100.0</v>
      </c>
      <c r="H54" s="3">
        <v>80.42</v>
      </c>
      <c r="I54" s="3">
        <v>99.14</v>
      </c>
      <c r="J54" s="3">
        <v>597.0</v>
      </c>
      <c r="K54" s="3">
        <v>1570.0</v>
      </c>
      <c r="L54" s="3">
        <v>216.0</v>
      </c>
      <c r="M54" s="3">
        <v>199.0</v>
      </c>
      <c r="N54" s="3">
        <v>100.0</v>
      </c>
      <c r="O54" s="3">
        <v>25.66</v>
      </c>
      <c r="P54" s="3">
        <v>25.35</v>
      </c>
      <c r="Q54" s="3">
        <v>265.0</v>
      </c>
      <c r="R54" s="3">
        <f>IF(AND(ISNUMBER(J54),ISNUMBER(Q54)),J54-Q54,"")</f>
        <v>332.0</v>
      </c>
      <c r="S54" s="3">
        <f>H54-O54</f>
        <v>54.76</v>
      </c>
      <c r="T54" s="3">
        <f>I54-P54</f>
        <v>73.79</v>
      </c>
    </row>
    <row r="55">
      <c r="A55" s="0" t="inlineStr">
        <is>
          <t>S03_Branching_Corridors</t>
        </is>
      </c>
      <c r="B55" s="0" t="inlineStr">
        <is>
          <t>S03_G07_D</t>
        </is>
      </c>
      <c r="C55" s="3">
        <v>1570.0</v>
      </c>
      <c r="D55" s="3">
        <v>1570.0</v>
      </c>
      <c r="E55" s="3">
        <v>254.0</v>
      </c>
      <c r="F55" s="3">
        <v>249.0</v>
      </c>
      <c r="G55" s="3">
        <v>100.0</v>
      </c>
      <c r="H55" s="3">
        <v>37.72</v>
      </c>
      <c r="I55" s="3">
        <v>37.61</v>
      </c>
      <c r="J55" s="3">
        <v>266.0</v>
      </c>
      <c r="K55" s="3">
        <v>1570.0</v>
      </c>
      <c r="L55" s="3">
        <v>364.0</v>
      </c>
      <c r="M55" s="3">
        <v>350.0</v>
      </c>
      <c r="N55" s="3">
        <v>100.0</v>
      </c>
      <c r="O55" s="3">
        <v>39.94</v>
      </c>
      <c r="P55" s="3">
        <v>42.17</v>
      </c>
      <c r="Q55" s="3">
        <v>345.0</v>
      </c>
      <c r="R55" s="3">
        <f>IF(AND(ISNUMBER(J55),ISNUMBER(Q55)),J55-Q55,"")</f>
        <v>-79.0</v>
      </c>
      <c r="S55" s="3">
        <f>H55-O55</f>
        <v>-2.22</v>
      </c>
      <c r="T55" s="3">
        <f>I55-P55</f>
        <v>-4.56</v>
      </c>
    </row>
    <row r="56">
      <c r="A56" s="0" t="inlineStr">
        <is>
          <t>S03_Branching_Corridors</t>
        </is>
      </c>
      <c r="B56" s="0" t="inlineStr">
        <is>
          <t>S03_G08_C</t>
        </is>
      </c>
      <c r="C56" s="3">
        <v>1570.0</v>
      </c>
      <c r="D56" s="3">
        <v>1570.0</v>
      </c>
      <c r="E56" s="3">
        <v>458.0</v>
      </c>
      <c r="F56" s="3">
        <v>458.0</v>
      </c>
      <c r="G56" s="3">
        <v>100.0</v>
      </c>
      <c r="H56" s="3">
        <v>75.38</v>
      </c>
      <c r="I56" s="3">
        <v>93.47</v>
      </c>
      <c r="J56" s="3">
        <v>499.0</v>
      </c>
      <c r="K56" s="3">
        <v>1570.0</v>
      </c>
      <c r="L56" s="3">
        <v>286.0</v>
      </c>
      <c r="M56" s="3">
        <v>267.0</v>
      </c>
      <c r="N56" s="3">
        <v>100.0</v>
      </c>
      <c r="O56" s="3">
        <v>33.5</v>
      </c>
      <c r="P56" s="3">
        <v>39.09</v>
      </c>
      <c r="Q56" s="3">
        <v>258.0</v>
      </c>
      <c r="R56" s="3">
        <f>IF(AND(ISNUMBER(J56),ISNUMBER(Q56)),J56-Q56,"")</f>
        <v>241.0</v>
      </c>
      <c r="S56" s="3">
        <f>H56-O56</f>
        <v>41.88</v>
      </c>
      <c r="T56" s="3">
        <f>I56-P56</f>
        <v>54.38</v>
      </c>
    </row>
    <row r="57">
      <c r="A57" s="0" t="inlineStr">
        <is>
          <t>S03_Branching_Corridors</t>
        </is>
      </c>
      <c r="B57" s="0" t="inlineStr">
        <is>
          <t>S03_G08_D</t>
        </is>
      </c>
      <c r="C57" s="3">
        <v>1570.0</v>
      </c>
      <c r="D57" s="3">
        <v>1570.0</v>
      </c>
      <c r="E57" s="3">
        <v>397.0</v>
      </c>
      <c r="F57" s="3">
        <v>366.0</v>
      </c>
      <c r="G57" s="3">
        <v>100.0</v>
      </c>
      <c r="H57" s="3">
        <v>53.43</v>
      </c>
      <c r="I57" s="3">
        <v>58.0</v>
      </c>
      <c r="J57" s="3">
        <v>338.0</v>
      </c>
      <c r="K57" s="3">
        <v>1570.0</v>
      </c>
      <c r="L57" s="3">
        <v>67.0</v>
      </c>
      <c r="M57" s="3">
        <v>37.0</v>
      </c>
      <c r="N57" s="3">
        <v>100.0</v>
      </c>
      <c r="O57" s="3">
        <v>11.08</v>
      </c>
      <c r="P57" s="3">
        <v>6.58</v>
      </c>
      <c r="Q57" s="3">
        <v>157.0</v>
      </c>
      <c r="R57" s="3">
        <f>IF(AND(ISNUMBER(J57),ISNUMBER(Q57)),J57-Q57,"")</f>
        <v>181.0</v>
      </c>
      <c r="S57" s="3">
        <f>H57-O57</f>
        <v>42.35</v>
      </c>
      <c r="T57" s="3">
        <f>I57-P57</f>
        <v>51.42</v>
      </c>
    </row>
    <row r="58">
      <c r="A58" s="0" t="inlineStr">
        <is>
          <t>S03_Branching_Corridors</t>
        </is>
      </c>
      <c r="B58" s="0" t="inlineStr">
        <is>
          <t>S03_G09_C</t>
        </is>
      </c>
      <c r="C58" s="3">
        <v>1500.0</v>
      </c>
      <c r="D58" s="3">
        <v>1500.0</v>
      </c>
      <c r="E58" s="3">
        <v>385.0</v>
      </c>
      <c r="F58" s="3">
        <v>381.0</v>
      </c>
      <c r="G58" s="3">
        <v>100.0</v>
      </c>
      <c r="H58" s="3">
        <v>76.02</v>
      </c>
      <c r="I58" s="3">
        <v>85.04</v>
      </c>
      <c r="J58" s="3">
        <v>471.0</v>
      </c>
      <c r="K58" s="3">
        <v>1500.0</v>
      </c>
      <c r="L58" s="3">
        <v>196.0</v>
      </c>
      <c r="M58" s="3">
        <v>188.0</v>
      </c>
      <c r="N58" s="3">
        <v>100.0</v>
      </c>
      <c r="O58" s="3">
        <v>25.73</v>
      </c>
      <c r="P58" s="3">
        <v>25.44</v>
      </c>
      <c r="Q58" s="3">
        <v>251.0</v>
      </c>
      <c r="R58" s="3">
        <f>IF(AND(ISNUMBER(J58),ISNUMBER(Q58)),J58-Q58,"")</f>
        <v>220.0</v>
      </c>
      <c r="S58" s="3">
        <f>H58-O58</f>
        <v>50.29</v>
      </c>
      <c r="T58" s="3">
        <f>I58-P58</f>
        <v>59.6</v>
      </c>
    </row>
    <row r="59">
      <c r="A59" s="0" t="inlineStr">
        <is>
          <t>S03_Branching_Corridors</t>
        </is>
      </c>
      <c r="B59" s="0" t="inlineStr">
        <is>
          <t>S03_G09_D</t>
        </is>
      </c>
      <c r="C59" s="3">
        <v>1500.0</v>
      </c>
      <c r="D59" s="3">
        <v>1500.0</v>
      </c>
      <c r="E59" s="3">
        <v>320.0</v>
      </c>
      <c r="F59" s="3">
        <v>313.0</v>
      </c>
      <c r="G59" s="3">
        <v>100.0</v>
      </c>
      <c r="H59" s="3">
        <v>43.9</v>
      </c>
      <c r="I59" s="3">
        <v>47.93</v>
      </c>
      <c r="J59" s="3">
        <v>292.0</v>
      </c>
      <c r="K59" s="3">
        <v>1500.0</v>
      </c>
      <c r="L59" s="3">
        <v>278.0</v>
      </c>
      <c r="M59" s="3">
        <v>255.0</v>
      </c>
      <c r="N59" s="3">
        <v>100.0</v>
      </c>
      <c r="O59" s="3">
        <v>30.89</v>
      </c>
      <c r="P59" s="3">
        <v>29.75</v>
      </c>
      <c r="Q59" s="3">
        <v>309.0</v>
      </c>
      <c r="R59" s="3">
        <f>IF(AND(ISNUMBER(J59),ISNUMBER(Q59)),J59-Q59,"")</f>
        <v>-17.0</v>
      </c>
      <c r="S59" s="3">
        <f>H59-O59</f>
        <v>13.01</v>
      </c>
      <c r="T59" s="3">
        <f>I59-P59</f>
        <v>18.18</v>
      </c>
    </row>
    <row r="60">
      <c r="A60" s="0" t="inlineStr">
        <is>
          <t>S03_Branching_Corridors</t>
        </is>
      </c>
      <c r="B60" s="0" t="inlineStr">
        <is>
          <t>S03_G10_C</t>
        </is>
      </c>
      <c r="C60" s="3">
        <v>1535.0</v>
      </c>
      <c r="D60" s="3">
        <v>1535.0</v>
      </c>
      <c r="E60" s="3">
        <v>513.0</v>
      </c>
      <c r="F60" s="3">
        <v>513.0</v>
      </c>
      <c r="G60" s="3">
        <v>100.0</v>
      </c>
      <c r="H60" s="3">
        <v>66.94</v>
      </c>
      <c r="I60" s="3">
        <v>99.23</v>
      </c>
      <c r="J60" s="3">
        <v>390.0</v>
      </c>
      <c r="K60" s="3">
        <v>1535.0</v>
      </c>
      <c r="L60" s="3">
        <v>334.0</v>
      </c>
      <c r="M60" s="3">
        <v>295.0</v>
      </c>
      <c r="N60" s="3">
        <v>100.0</v>
      </c>
      <c r="O60" s="3">
        <v>31.9</v>
      </c>
      <c r="P60" s="3">
        <v>33.95</v>
      </c>
      <c r="Q60" s="3">
        <v>320.0</v>
      </c>
      <c r="R60" s="3">
        <f>IF(AND(ISNUMBER(J60),ISNUMBER(Q60)),J60-Q60,"")</f>
        <v>70.0</v>
      </c>
      <c r="S60" s="3">
        <f>H60-O60</f>
        <v>35.04</v>
      </c>
      <c r="T60" s="3">
        <f>I60-P60</f>
        <v>65.28</v>
      </c>
    </row>
    <row r="61">
      <c r="A61" s="0" t="inlineStr">
        <is>
          <t>S03_Branching_Corridors</t>
        </is>
      </c>
      <c r="B61" s="0" t="inlineStr">
        <is>
          <t>S03_G10_D</t>
        </is>
      </c>
      <c r="C61" s="3">
        <v>1535.0</v>
      </c>
      <c r="D61" s="3">
        <v>1535.0</v>
      </c>
      <c r="E61" s="3">
        <v>504.0</v>
      </c>
      <c r="F61" s="3">
        <v>501.0</v>
      </c>
      <c r="G61" s="3">
        <v>100.0</v>
      </c>
      <c r="H61" s="3">
        <v>53.24</v>
      </c>
      <c r="I61" s="3">
        <v>67.98</v>
      </c>
      <c r="J61" s="3">
        <v>394.0</v>
      </c>
      <c r="K61" s="3">
        <v>1535.0</v>
      </c>
      <c r="L61" s="3">
        <v>329.0</v>
      </c>
      <c r="M61" s="3">
        <v>328.0</v>
      </c>
      <c r="N61" s="3">
        <v>100.0</v>
      </c>
      <c r="O61" s="3">
        <v>34.16</v>
      </c>
      <c r="P61" s="3">
        <v>41.1</v>
      </c>
      <c r="Q61" s="3">
        <v>302.0</v>
      </c>
      <c r="R61" s="3">
        <f>IF(AND(ISNUMBER(J61),ISNUMBER(Q61)),J61-Q61,"")</f>
        <v>92.0</v>
      </c>
      <c r="S61" s="3">
        <f>H61-O61</f>
        <v>19.08</v>
      </c>
      <c r="T61" s="3">
        <f>I61-P61</f>
        <v>26.88</v>
      </c>
    </row>
    <row r="62">
      <c r="A62" s="0" t="inlineStr">
        <is>
          <t>S04_Serpentine</t>
        </is>
      </c>
      <c r="B62" s="0" t="inlineStr">
        <is>
          <t>S04_G01_C</t>
        </is>
      </c>
      <c r="C62" s="3">
        <v>1440.0</v>
      </c>
      <c r="D62" s="3">
        <v>1440.0</v>
      </c>
      <c r="E62" s="3">
        <v>218.0</v>
      </c>
      <c r="F62" s="3">
        <v>211.0</v>
      </c>
      <c r="G62" s="3">
        <v>100.0</v>
      </c>
      <c r="H62" s="3">
        <v>50.06</v>
      </c>
      <c r="I62" s="3">
        <v>48.39</v>
      </c>
      <c r="J62" s="3">
        <v>219.0</v>
      </c>
      <c r="K62" s="3">
        <v>1440.0</v>
      </c>
      <c r="L62" s="3">
        <v>90.0</v>
      </c>
      <c r="M62" s="3">
        <v>83.0</v>
      </c>
      <c r="N62" s="3">
        <v>100.0</v>
      </c>
      <c r="O62" s="3">
        <v>21.69</v>
      </c>
      <c r="P62" s="3">
        <v>12.3</v>
      </c>
      <c r="Q62" s="3">
        <v>216.0</v>
      </c>
      <c r="R62" s="3">
        <f>IF(AND(ISNUMBER(J62),ISNUMBER(Q62)),J62-Q62,"")</f>
        <v>3.0</v>
      </c>
      <c r="S62" s="3">
        <f>H62-O62</f>
        <v>28.37</v>
      </c>
      <c r="T62" s="3">
        <f>I62-P62</f>
        <v>36.09</v>
      </c>
    </row>
    <row r="63">
      <c r="A63" s="0" t="inlineStr">
        <is>
          <t>S04_Serpentine</t>
        </is>
      </c>
      <c r="B63" s="0" t="inlineStr">
        <is>
          <t>S04_G01_D</t>
        </is>
      </c>
      <c r="C63" s="3">
        <v>1440.0</v>
      </c>
      <c r="D63" s="3">
        <v>1440.0</v>
      </c>
      <c r="E63" s="3">
        <v>70.0</v>
      </c>
      <c r="F63" s="3">
        <v>54.0</v>
      </c>
      <c r="G63" s="3">
        <v>100.0</v>
      </c>
      <c r="H63" s="3">
        <v>14.84</v>
      </c>
      <c r="I63" s="3">
        <v>12.89</v>
      </c>
      <c r="J63" s="3">
        <v>122.0</v>
      </c>
      <c r="K63" s="3">
        <v>1440.0</v>
      </c>
      <c r="L63" s="3">
        <v>45.0</v>
      </c>
      <c r="M63" s="3">
        <v>37.0</v>
      </c>
      <c r="N63" s="3">
        <v>100.0</v>
      </c>
      <c r="O63" s="3">
        <v>6.13</v>
      </c>
      <c r="P63" s="3">
        <v>5.03</v>
      </c>
      <c r="Q63" s="3">
        <v>195.0</v>
      </c>
      <c r="R63" s="3">
        <f>IF(AND(ISNUMBER(J63),ISNUMBER(Q63)),J63-Q63,"")</f>
        <v>-73.0</v>
      </c>
      <c r="S63" s="3">
        <f>H63-O63</f>
        <v>8.71</v>
      </c>
      <c r="T63" s="3">
        <f>I63-P63</f>
        <v>7.86</v>
      </c>
    </row>
    <row r="64">
      <c r="A64" s="0" t="inlineStr">
        <is>
          <t>S04_Serpentine</t>
        </is>
      </c>
      <c r="B64" s="0" t="inlineStr">
        <is>
          <t>S04_G02_C</t>
        </is>
      </c>
      <c r="C64" s="3">
        <v>1690.0</v>
      </c>
      <c r="D64" s="3">
        <v>1690.0</v>
      </c>
      <c r="E64" s="3">
        <v>226.0</v>
      </c>
      <c r="F64" s="3">
        <v>221.0</v>
      </c>
      <c r="G64" s="3">
        <v>100.0</v>
      </c>
      <c r="H64" s="3">
        <v>51.06</v>
      </c>
      <c r="I64" s="3">
        <v>50.23</v>
      </c>
      <c r="J64" s="3">
        <v>224.0</v>
      </c>
      <c r="K64" s="3">
        <v>1690.0</v>
      </c>
      <c r="L64" s="3">
        <v>93.0</v>
      </c>
      <c r="M64" s="3">
        <v>85.0</v>
      </c>
      <c r="N64" s="3">
        <v>100.0</v>
      </c>
      <c r="O64" s="3">
        <v>29.04</v>
      </c>
      <c r="P64" s="3">
        <v>14.99</v>
      </c>
      <c r="Q64" s="3">
        <v>201.0</v>
      </c>
      <c r="R64" s="3">
        <f>IF(AND(ISNUMBER(J64),ISNUMBER(Q64)),J64-Q64,"")</f>
        <v>23.0</v>
      </c>
      <c r="S64" s="3">
        <f>H64-O64</f>
        <v>22.02</v>
      </c>
      <c r="T64" s="3">
        <f>I64-P64</f>
        <v>35.24</v>
      </c>
    </row>
    <row r="65">
      <c r="A65" s="0" t="inlineStr">
        <is>
          <t>S04_Serpentine</t>
        </is>
      </c>
      <c r="B65" s="0" t="inlineStr">
        <is>
          <t>S04_G02_D</t>
        </is>
      </c>
      <c r="C65" s="3">
        <v>1690.0</v>
      </c>
      <c r="D65" s="3">
        <v>1690.0</v>
      </c>
      <c r="E65" s="3">
        <v>346.0</v>
      </c>
      <c r="F65" s="3">
        <v>336.0</v>
      </c>
      <c r="G65" s="3">
        <v>100.0</v>
      </c>
      <c r="H65" s="3">
        <v>42.2</v>
      </c>
      <c r="I65" s="3">
        <v>49.85</v>
      </c>
      <c r="J65" s="3">
        <v>291.0</v>
      </c>
      <c r="K65" s="3">
        <v>1690.0</v>
      </c>
      <c r="L65" s="3">
        <v>481.0</v>
      </c>
      <c r="M65" s="3">
        <v>481.0</v>
      </c>
      <c r="N65" s="3">
        <v>100.0</v>
      </c>
      <c r="O65" s="3">
        <v>43.13</v>
      </c>
      <c r="P65" s="3">
        <v>53.8</v>
      </c>
      <c r="Q65" s="3">
        <v>392.0</v>
      </c>
      <c r="R65" s="3">
        <f>IF(AND(ISNUMBER(J65),ISNUMBER(Q65)),J65-Q65,"")</f>
        <v>-101.0</v>
      </c>
      <c r="S65" s="3">
        <f>H65-O65</f>
        <v>-0.93</v>
      </c>
      <c r="T65" s="3">
        <f>I65-P65</f>
        <v>-3.95</v>
      </c>
    </row>
    <row r="66">
      <c r="A66" s="0" t="inlineStr">
        <is>
          <t>S04_Serpentine</t>
        </is>
      </c>
      <c r="B66" s="0" t="inlineStr">
        <is>
          <t>S04_G03_C</t>
        </is>
      </c>
      <c r="C66" s="3">
        <v>1614.0</v>
      </c>
      <c r="D66" s="3">
        <v>1614.0</v>
      </c>
      <c r="E66" s="3">
        <v>493.0</v>
      </c>
      <c r="F66" s="3">
        <v>491.0</v>
      </c>
      <c r="G66" s="3">
        <v>100.0</v>
      </c>
      <c r="H66" s="3">
        <v>73.18</v>
      </c>
      <c r="I66" s="3">
        <v>84.8</v>
      </c>
      <c r="J66" s="3">
        <v>546.0</v>
      </c>
      <c r="K66" s="3">
        <v>1614.0</v>
      </c>
      <c r="L66" s="3">
        <v>86.0</v>
      </c>
      <c r="M66" s="3">
        <v>74.0</v>
      </c>
      <c r="N66" s="3">
        <v>100.0</v>
      </c>
      <c r="O66" s="3">
        <v>12.61</v>
      </c>
      <c r="P66" s="3">
        <v>11.99</v>
      </c>
      <c r="Q66" s="3">
        <v>176.0</v>
      </c>
      <c r="R66" s="3">
        <f>IF(AND(ISNUMBER(J66),ISNUMBER(Q66)),J66-Q66,"")</f>
        <v>370.0</v>
      </c>
      <c r="S66" s="3">
        <f>H66-O66</f>
        <v>60.57</v>
      </c>
      <c r="T66" s="3">
        <f>I66-P66</f>
        <v>72.81</v>
      </c>
    </row>
    <row r="67">
      <c r="A67" s="0" t="inlineStr">
        <is>
          <t>S04_Serpentine</t>
        </is>
      </c>
      <c r="B67" s="0" t="inlineStr">
        <is>
          <t>S04_G03_D</t>
        </is>
      </c>
      <c r="C67" s="3">
        <v>1614.0</v>
      </c>
      <c r="D67" s="3">
        <v>1614.0</v>
      </c>
      <c r="E67" s="3">
        <v>562.0</v>
      </c>
      <c r="F67" s="3">
        <v>435.0</v>
      </c>
      <c r="G67" s="3">
        <v>100.0</v>
      </c>
      <c r="H67" s="3">
        <v>51.2</v>
      </c>
      <c r="I67" s="3">
        <v>53.57</v>
      </c>
      <c r="J67" s="3">
        <v>416.0</v>
      </c>
      <c r="K67" s="3">
        <v>1614.0</v>
      </c>
      <c r="L67" s="3">
        <v>135.0</v>
      </c>
      <c r="M67" s="3">
        <v>42.0</v>
      </c>
      <c r="N67" s="3">
        <v>100.0</v>
      </c>
      <c r="O67" s="3">
        <v>17.36</v>
      </c>
      <c r="P67" s="3">
        <v>6.44</v>
      </c>
      <c r="Q67" s="3">
        <v>197.0</v>
      </c>
      <c r="R67" s="3">
        <f>IF(AND(ISNUMBER(J67),ISNUMBER(Q67)),J67-Q67,"")</f>
        <v>219.0</v>
      </c>
      <c r="S67" s="3">
        <f>H67-O67</f>
        <v>33.84</v>
      </c>
      <c r="T67" s="3">
        <f>I67-P67</f>
        <v>47.13</v>
      </c>
    </row>
    <row r="68">
      <c r="A68" s="0" t="inlineStr">
        <is>
          <t>S04_Serpentine</t>
        </is>
      </c>
      <c r="B68" s="0" t="inlineStr">
        <is>
          <t>S04_G04_C</t>
        </is>
      </c>
      <c r="C68" s="3">
        <v>1720.0</v>
      </c>
      <c r="D68" s="3">
        <v>1720.0</v>
      </c>
      <c r="E68" s="3">
        <v>644.0</v>
      </c>
      <c r="F68" s="3">
        <v>641.0</v>
      </c>
      <c r="G68" s="3">
        <v>100.0</v>
      </c>
      <c r="H68" s="3">
        <v>74.07</v>
      </c>
      <c r="I68" s="3">
        <v>97.71</v>
      </c>
      <c r="J68" s="3">
        <v>638.0</v>
      </c>
      <c r="K68" s="3">
        <v>1720.0</v>
      </c>
      <c r="L68" s="3">
        <v>158.0</v>
      </c>
      <c r="M68" s="3">
        <v>153.0</v>
      </c>
      <c r="N68" s="3">
        <v>100.0</v>
      </c>
      <c r="O68" s="3">
        <v>22.71</v>
      </c>
      <c r="P68" s="3">
        <v>16.96</v>
      </c>
      <c r="Q68" s="3">
        <v>293.0</v>
      </c>
      <c r="R68" s="3">
        <f>IF(AND(ISNUMBER(J68),ISNUMBER(Q68)),J68-Q68,"")</f>
        <v>345.0</v>
      </c>
      <c r="S68" s="3">
        <f>H68-O68</f>
        <v>51.36</v>
      </c>
      <c r="T68" s="3">
        <f>I68-P68</f>
        <v>80.75</v>
      </c>
    </row>
    <row r="69">
      <c r="A69" s="0" t="inlineStr">
        <is>
          <t>S04_Serpentine</t>
        </is>
      </c>
      <c r="B69" s="0" t="inlineStr">
        <is>
          <t>S04_G04_D</t>
        </is>
      </c>
      <c r="C69" s="3">
        <v>1720.0</v>
      </c>
      <c r="D69" s="3">
        <v>1720.0</v>
      </c>
      <c r="E69" s="3">
        <v>350.0</v>
      </c>
      <c r="F69" s="3">
        <v>340.0</v>
      </c>
      <c r="G69" s="3">
        <v>100.0</v>
      </c>
      <c r="H69" s="3">
        <v>42.03</v>
      </c>
      <c r="I69" s="3">
        <v>49.49</v>
      </c>
      <c r="J69" s="3">
        <v>296.0</v>
      </c>
      <c r="K69" s="3">
        <v>1720.0</v>
      </c>
      <c r="L69" s="3">
        <v>490.0</v>
      </c>
      <c r="M69" s="3">
        <v>490.0</v>
      </c>
      <c r="N69" s="3">
        <v>100.0</v>
      </c>
      <c r="O69" s="3">
        <v>42.91</v>
      </c>
      <c r="P69" s="3">
        <v>53.38</v>
      </c>
      <c r="Q69" s="3">
        <v>401.0</v>
      </c>
      <c r="R69" s="3">
        <f>IF(AND(ISNUMBER(J69),ISNUMBER(Q69)),J69-Q69,"")</f>
        <v>-105.0</v>
      </c>
      <c r="S69" s="3">
        <f>H69-O69</f>
        <v>-0.88</v>
      </c>
      <c r="T69" s="3">
        <f>I69-P69</f>
        <v>-3.89</v>
      </c>
    </row>
    <row r="70">
      <c r="A70" s="0" t="inlineStr">
        <is>
          <t>S04_Serpentine</t>
        </is>
      </c>
      <c r="B70" s="0" t="inlineStr">
        <is>
          <t>S04_G05_C</t>
        </is>
      </c>
      <c r="C70" s="3">
        <v>1515.0</v>
      </c>
      <c r="D70" s="3">
        <v>1515.0</v>
      </c>
      <c r="E70" s="3">
        <v>548.0</v>
      </c>
      <c r="F70" s="3">
        <v>548.0</v>
      </c>
      <c r="G70" s="3">
        <v>100.0</v>
      </c>
      <c r="H70" s="3">
        <v>74.41</v>
      </c>
      <c r="I70" s="3">
        <v>96.99</v>
      </c>
      <c r="J70" s="3">
        <v>554.0</v>
      </c>
      <c r="K70" s="3">
        <v>1515.0</v>
      </c>
      <c r="L70" s="3">
        <v>379.0</v>
      </c>
      <c r="M70" s="3">
        <v>347.0</v>
      </c>
      <c r="N70" s="3">
        <v>100.0</v>
      </c>
      <c r="O70" s="3">
        <v>39.31</v>
      </c>
      <c r="P70" s="3">
        <v>37.72</v>
      </c>
      <c r="Q70" s="3">
        <v>380.0</v>
      </c>
      <c r="R70" s="3">
        <f>IF(AND(ISNUMBER(J70),ISNUMBER(Q70)),J70-Q70,"")</f>
        <v>174.0</v>
      </c>
      <c r="S70" s="3">
        <f>H70-O70</f>
        <v>35.1</v>
      </c>
      <c r="T70" s="3">
        <f>I70-P70</f>
        <v>59.27</v>
      </c>
    </row>
    <row r="71">
      <c r="A71" s="0" t="inlineStr">
        <is>
          <t>S04_Serpentine</t>
        </is>
      </c>
      <c r="B71" s="0" t="inlineStr">
        <is>
          <t>S04_G05_D</t>
        </is>
      </c>
      <c r="C71" s="3">
        <v>1515.0</v>
      </c>
      <c r="D71" s="3">
        <v>1515.0</v>
      </c>
      <c r="E71" s="3">
        <v>73.0</v>
      </c>
      <c r="F71" s="3">
        <v>57.0</v>
      </c>
      <c r="G71" s="3">
        <v>100.0</v>
      </c>
      <c r="H71" s="3">
        <v>14.73</v>
      </c>
      <c r="I71" s="3">
        <v>12.95</v>
      </c>
      <c r="J71" s="3">
        <v>128.0</v>
      </c>
      <c r="K71" s="3">
        <v>1515.0</v>
      </c>
      <c r="L71" s="3">
        <v>25.0</v>
      </c>
      <c r="M71" s="3">
        <v>14.0</v>
      </c>
      <c r="N71" s="3">
        <v>100.0</v>
      </c>
      <c r="O71" s="3">
        <v>6.01</v>
      </c>
      <c r="P71" s="3">
        <v>2.89</v>
      </c>
      <c r="Q71" s="3">
        <v>128.0</v>
      </c>
      <c r="R71" s="3">
        <f>IF(AND(ISNUMBER(J71),ISNUMBER(Q71)),J71-Q71,"")</f>
        <v>0.0</v>
      </c>
      <c r="S71" s="3">
        <f>H71-O71</f>
        <v>8.72</v>
      </c>
      <c r="T71" s="3">
        <f>I71-P71</f>
        <v>10.06</v>
      </c>
    </row>
    <row r="72">
      <c r="A72" s="0" t="inlineStr">
        <is>
          <t>S04_Serpentine</t>
        </is>
      </c>
      <c r="B72" s="0" t="inlineStr">
        <is>
          <t>S04_G06_C</t>
        </is>
      </c>
      <c r="C72" s="3">
        <v>1926.0</v>
      </c>
      <c r="D72" s="3">
        <v>1926.0</v>
      </c>
      <c r="E72" s="3">
        <v>646.0</v>
      </c>
      <c r="F72" s="3">
        <v>642.0</v>
      </c>
      <c r="G72" s="3">
        <v>100.0</v>
      </c>
      <c r="H72" s="3">
        <v>72.08</v>
      </c>
      <c r="I72" s="3">
        <v>95.68</v>
      </c>
      <c r="J72" s="3">
        <v>606.0</v>
      </c>
      <c r="K72" s="3">
        <v>1926.0</v>
      </c>
      <c r="L72" s="3">
        <v>571.0</v>
      </c>
      <c r="M72" s="3">
        <v>548.0</v>
      </c>
      <c r="N72" s="3">
        <v>100.0</v>
      </c>
      <c r="O72" s="3">
        <v>47.6</v>
      </c>
      <c r="P72" s="3">
        <v>49.19</v>
      </c>
      <c r="Q72" s="3">
        <v>532.0</v>
      </c>
      <c r="R72" s="3">
        <f>IF(AND(ISNUMBER(J72),ISNUMBER(Q72)),J72-Q72,"")</f>
        <v>74.0</v>
      </c>
      <c r="S72" s="3">
        <f>H72-O72</f>
        <v>24.48</v>
      </c>
      <c r="T72" s="3">
        <f>I72-P72</f>
        <v>46.49</v>
      </c>
    </row>
    <row r="73">
      <c r="A73" s="0" t="inlineStr">
        <is>
          <t>S04_Serpentine</t>
        </is>
      </c>
      <c r="B73" s="0" t="inlineStr">
        <is>
          <t>S04_G06_D</t>
        </is>
      </c>
      <c r="C73" s="3">
        <v>1926.0</v>
      </c>
      <c r="D73" s="3">
        <v>1926.0</v>
      </c>
      <c r="E73" s="3">
        <v>701.0</v>
      </c>
      <c r="F73" s="3">
        <v>657.0</v>
      </c>
      <c r="G73" s="3">
        <v>100.0</v>
      </c>
      <c r="H73" s="3">
        <v>56.29</v>
      </c>
      <c r="I73" s="3">
        <v>65.83</v>
      </c>
      <c r="J73" s="3">
        <v>571.0</v>
      </c>
      <c r="K73" s="3">
        <v>1926.0</v>
      </c>
      <c r="L73" s="3">
        <v>130.0</v>
      </c>
      <c r="M73" s="3">
        <v>83.0</v>
      </c>
      <c r="N73" s="3">
        <v>100.0</v>
      </c>
      <c r="O73" s="3">
        <v>12.64</v>
      </c>
      <c r="P73" s="3">
        <v>8.83</v>
      </c>
      <c r="Q73" s="3">
        <v>268.0</v>
      </c>
      <c r="R73" s="3">
        <f>IF(AND(ISNUMBER(J73),ISNUMBER(Q73)),J73-Q73,"")</f>
        <v>303.0</v>
      </c>
      <c r="S73" s="3">
        <f>H73-O73</f>
        <v>43.65</v>
      </c>
      <c r="T73" s="3">
        <f>I73-P73</f>
        <v>57.0</v>
      </c>
    </row>
    <row r="74">
      <c r="A74" s="0" t="inlineStr">
        <is>
          <t>S04_Serpentine</t>
        </is>
      </c>
      <c r="B74" s="0" t="inlineStr">
        <is>
          <t>S04_G07_C</t>
        </is>
      </c>
      <c r="C74" s="3">
        <v>1440.0</v>
      </c>
      <c r="D74" s="3">
        <v>1440.0</v>
      </c>
      <c r="E74" s="3">
        <v>413.0</v>
      </c>
      <c r="F74" s="3">
        <v>413.0</v>
      </c>
      <c r="G74" s="3">
        <v>100.0</v>
      </c>
      <c r="H74" s="3">
        <v>71.31</v>
      </c>
      <c r="I74" s="3">
        <v>97.87</v>
      </c>
      <c r="J74" s="3">
        <v>370.0</v>
      </c>
      <c r="K74" s="3">
        <v>1440.0</v>
      </c>
      <c r="L74" s="3">
        <v>316.0</v>
      </c>
      <c r="M74" s="3">
        <v>313.0</v>
      </c>
      <c r="N74" s="3">
        <v>100.0</v>
      </c>
      <c r="O74" s="3">
        <v>41.61</v>
      </c>
      <c r="P74" s="3">
        <v>38.93</v>
      </c>
      <c r="Q74" s="3">
        <v>350.0</v>
      </c>
      <c r="R74" s="3">
        <f>IF(AND(ISNUMBER(J74),ISNUMBER(Q74)),J74-Q74,"")</f>
        <v>20.0</v>
      </c>
      <c r="S74" s="3">
        <f>H74-O74</f>
        <v>29.7</v>
      </c>
      <c r="T74" s="3">
        <f>I74-P74</f>
        <v>58.94</v>
      </c>
    </row>
    <row r="75">
      <c r="A75" s="0" t="inlineStr">
        <is>
          <t>S04_Serpentine</t>
        </is>
      </c>
      <c r="B75" s="0" t="inlineStr">
        <is>
          <t>S04_G07_D</t>
        </is>
      </c>
      <c r="C75" s="3">
        <v>1440.0</v>
      </c>
      <c r="D75" s="3">
        <v>1440.0</v>
      </c>
      <c r="E75" s="3">
        <v>71.0</v>
      </c>
      <c r="F75" s="3">
        <v>55.0</v>
      </c>
      <c r="G75" s="3">
        <v>100.0</v>
      </c>
      <c r="H75" s="3">
        <v>15.04</v>
      </c>
      <c r="I75" s="3">
        <v>13.16</v>
      </c>
      <c r="J75" s="3">
        <v>122.0</v>
      </c>
      <c r="K75" s="3">
        <v>1440.0</v>
      </c>
      <c r="L75" s="3">
        <v>25.0</v>
      </c>
      <c r="M75" s="3">
        <v>14.0</v>
      </c>
      <c r="N75" s="3">
        <v>100.0</v>
      </c>
      <c r="O75" s="3">
        <v>6.3</v>
      </c>
      <c r="P75" s="3">
        <v>3.04</v>
      </c>
      <c r="Q75" s="3">
        <v>122.0</v>
      </c>
      <c r="R75" s="3">
        <f>IF(AND(ISNUMBER(J75),ISNUMBER(Q75)),J75-Q75,"")</f>
        <v>0.0</v>
      </c>
      <c r="S75" s="3">
        <f>H75-O75</f>
        <v>8.74</v>
      </c>
      <c r="T75" s="3">
        <f>I75-P75</f>
        <v>10.12</v>
      </c>
    </row>
    <row r="76">
      <c r="A76" s="0" t="inlineStr">
        <is>
          <t>S04_Serpentine</t>
        </is>
      </c>
      <c r="B76" s="0" t="inlineStr">
        <is>
          <t>S04_G08_C</t>
        </is>
      </c>
      <c r="C76" s="3">
        <v>1660.0</v>
      </c>
      <c r="D76" s="3">
        <v>1660.0</v>
      </c>
      <c r="E76" s="3">
        <v>236.0</v>
      </c>
      <c r="F76" s="3">
        <v>231.0</v>
      </c>
      <c r="G76" s="3">
        <v>100.0</v>
      </c>
      <c r="H76" s="3">
        <v>51.01</v>
      </c>
      <c r="I76" s="3">
        <v>50.22</v>
      </c>
      <c r="J76" s="3">
        <v>234.0</v>
      </c>
      <c r="K76" s="3">
        <v>1660.0</v>
      </c>
      <c r="L76" s="3">
        <v>59.0</v>
      </c>
      <c r="M76" s="3">
        <v>54.0</v>
      </c>
      <c r="N76" s="3">
        <v>100.0</v>
      </c>
      <c r="O76" s="3">
        <v>23.93</v>
      </c>
      <c r="P76" s="3">
        <v>9.76</v>
      </c>
      <c r="Q76" s="3">
        <v>183.0</v>
      </c>
      <c r="R76" s="3">
        <f>IF(AND(ISNUMBER(J76),ISNUMBER(Q76)),J76-Q76,"")</f>
        <v>51.0</v>
      </c>
      <c r="S76" s="3">
        <f>H76-O76</f>
        <v>27.08</v>
      </c>
      <c r="T76" s="3">
        <f>I76-P76</f>
        <v>40.46</v>
      </c>
    </row>
    <row r="77">
      <c r="A77" s="0" t="inlineStr">
        <is>
          <t>S04_Serpentine</t>
        </is>
      </c>
      <c r="B77" s="0" t="inlineStr">
        <is>
          <t>S04_G08_D</t>
        </is>
      </c>
      <c r="C77" s="3">
        <v>1660.0</v>
      </c>
      <c r="D77" s="3">
        <v>1660.0</v>
      </c>
      <c r="E77" s="3">
        <v>338.0</v>
      </c>
      <c r="F77" s="3">
        <v>328.0</v>
      </c>
      <c r="G77" s="3">
        <v>100.0</v>
      </c>
      <c r="H77" s="3">
        <v>42.1</v>
      </c>
      <c r="I77" s="3">
        <v>49.47</v>
      </c>
      <c r="J77" s="3">
        <v>286.0</v>
      </c>
      <c r="K77" s="3">
        <v>1660.0</v>
      </c>
      <c r="L77" s="3">
        <v>472.0</v>
      </c>
      <c r="M77" s="3">
        <v>472.0</v>
      </c>
      <c r="N77" s="3">
        <v>100.0</v>
      </c>
      <c r="O77" s="3">
        <v>42.91</v>
      </c>
      <c r="P77" s="3">
        <v>53.27</v>
      </c>
      <c r="Q77" s="3">
        <v>387.0</v>
      </c>
      <c r="R77" s="3">
        <f>IF(AND(ISNUMBER(J77),ISNUMBER(Q77)),J77-Q77,"")</f>
        <v>-101.0</v>
      </c>
      <c r="S77" s="3">
        <f>H77-O77</f>
        <v>-0.81</v>
      </c>
      <c r="T77" s="3">
        <f>I77-P77</f>
        <v>-3.8</v>
      </c>
    </row>
    <row r="78">
      <c r="A78" s="0" t="inlineStr">
        <is>
          <t>S04_Serpentine</t>
        </is>
      </c>
      <c r="B78" s="0" t="inlineStr">
        <is>
          <t>S04_G09_C</t>
        </is>
      </c>
      <c r="C78" s="3">
        <v>1734.0</v>
      </c>
      <c r="D78" s="3">
        <v>1734.0</v>
      </c>
      <c r="E78" s="3">
        <v>560.0</v>
      </c>
      <c r="F78" s="3">
        <v>559.0</v>
      </c>
      <c r="G78" s="3">
        <v>100.0</v>
      </c>
      <c r="H78" s="3">
        <v>71.99</v>
      </c>
      <c r="I78" s="3">
        <v>84.95</v>
      </c>
      <c r="J78" s="3">
        <v>593.0</v>
      </c>
      <c r="K78" s="3">
        <v>1734.0</v>
      </c>
      <c r="L78" s="3">
        <v>354.0</v>
      </c>
      <c r="M78" s="3">
        <v>341.0</v>
      </c>
      <c r="N78" s="3">
        <v>100.0</v>
      </c>
      <c r="O78" s="3">
        <v>42.74</v>
      </c>
      <c r="P78" s="3">
        <v>36.01</v>
      </c>
      <c r="Q78" s="3">
        <v>415.0</v>
      </c>
      <c r="R78" s="3">
        <f>IF(AND(ISNUMBER(J78),ISNUMBER(Q78)),J78-Q78,"")</f>
        <v>178.0</v>
      </c>
      <c r="S78" s="3">
        <f>H78-O78</f>
        <v>29.25</v>
      </c>
      <c r="T78" s="3">
        <f>I78-P78</f>
        <v>48.94</v>
      </c>
    </row>
    <row r="79">
      <c r="A79" s="0" t="inlineStr">
        <is>
          <t>S04_Serpentine</t>
        </is>
      </c>
      <c r="B79" s="0" t="inlineStr">
        <is>
          <t>S04_G09_D</t>
        </is>
      </c>
      <c r="C79" s="3">
        <v>1734.0</v>
      </c>
      <c r="D79" s="3">
        <v>1734.0</v>
      </c>
      <c r="E79" s="3">
        <v>607.0</v>
      </c>
      <c r="F79" s="3">
        <v>466.0</v>
      </c>
      <c r="G79" s="3">
        <v>100.0</v>
      </c>
      <c r="H79" s="3">
        <v>51.03</v>
      </c>
      <c r="I79" s="3">
        <v>52.89</v>
      </c>
      <c r="J79" s="3">
        <v>450.0</v>
      </c>
      <c r="K79" s="3">
        <v>1734.0</v>
      </c>
      <c r="L79" s="3">
        <v>189.0</v>
      </c>
      <c r="M79" s="3">
        <v>87.0</v>
      </c>
      <c r="N79" s="3">
        <v>100.0</v>
      </c>
      <c r="O79" s="3">
        <v>22.72</v>
      </c>
      <c r="P79" s="3">
        <v>13.18</v>
      </c>
      <c r="Q79" s="3">
        <v>213.0</v>
      </c>
      <c r="R79" s="3">
        <f>IF(AND(ISNUMBER(J79),ISNUMBER(Q79)),J79-Q79,"")</f>
        <v>237.0</v>
      </c>
      <c r="S79" s="3">
        <f>H79-O79</f>
        <v>28.31</v>
      </c>
      <c r="T79" s="3">
        <f>I79-P79</f>
        <v>39.71</v>
      </c>
    </row>
    <row r="80">
      <c r="A80" s="0" t="inlineStr">
        <is>
          <t>S04_Serpentine</t>
        </is>
      </c>
      <c r="B80" s="0" t="inlineStr">
        <is>
          <t>S04_G10_C</t>
        </is>
      </c>
      <c r="C80" s="3">
        <v>1720.0</v>
      </c>
      <c r="D80" s="3">
        <v>1720.0</v>
      </c>
      <c r="E80" s="3">
        <v>492.0</v>
      </c>
      <c r="F80" s="3">
        <v>492.0</v>
      </c>
      <c r="G80" s="3">
        <v>100.0</v>
      </c>
      <c r="H80" s="3">
        <v>73.04</v>
      </c>
      <c r="I80" s="3">
        <v>98.8</v>
      </c>
      <c r="J80" s="3">
        <v>464.0</v>
      </c>
      <c r="K80" s="3">
        <v>1720.0</v>
      </c>
      <c r="L80" s="3">
        <v>387.0</v>
      </c>
      <c r="M80" s="3">
        <v>383.0</v>
      </c>
      <c r="N80" s="3">
        <v>100.0</v>
      </c>
      <c r="O80" s="3">
        <v>39.82</v>
      </c>
      <c r="P80" s="3">
        <v>35.9</v>
      </c>
      <c r="Q80" s="3">
        <v>446.0</v>
      </c>
      <c r="R80" s="3">
        <f>IF(AND(ISNUMBER(J80),ISNUMBER(Q80)),J80-Q80,"")</f>
        <v>18.0</v>
      </c>
      <c r="S80" s="3">
        <f>H80-O80</f>
        <v>33.22</v>
      </c>
      <c r="T80" s="3">
        <f>I80-P80</f>
        <v>62.9</v>
      </c>
    </row>
    <row r="81">
      <c r="A81" s="0" t="inlineStr">
        <is>
          <t>S04_Serpentine</t>
        </is>
      </c>
      <c r="B81" s="0" t="inlineStr">
        <is>
          <t>S04_G10_D</t>
        </is>
      </c>
      <c r="C81" s="3">
        <v>1720.0</v>
      </c>
      <c r="D81" s="3">
        <v>1720.0</v>
      </c>
      <c r="E81" s="3">
        <v>352.0</v>
      </c>
      <c r="F81" s="3">
        <v>342.0</v>
      </c>
      <c r="G81" s="3">
        <v>100.0</v>
      </c>
      <c r="H81" s="3">
        <v>42.24</v>
      </c>
      <c r="I81" s="3">
        <v>49.93</v>
      </c>
      <c r="J81" s="3">
        <v>296.0</v>
      </c>
      <c r="K81" s="3">
        <v>1720.0</v>
      </c>
      <c r="L81" s="3">
        <v>490.0</v>
      </c>
      <c r="M81" s="3">
        <v>490.0</v>
      </c>
      <c r="N81" s="3">
        <v>100.0</v>
      </c>
      <c r="O81" s="3">
        <v>43.13</v>
      </c>
      <c r="P81" s="3">
        <v>53.85</v>
      </c>
      <c r="Q81" s="3">
        <v>399.0</v>
      </c>
      <c r="R81" s="3">
        <f>IF(AND(ISNUMBER(J81),ISNUMBER(Q81)),J81-Q81,"")</f>
        <v>-103.0</v>
      </c>
      <c r="S81" s="3">
        <f>H81-O81</f>
        <v>-0.89</v>
      </c>
      <c r="T81" s="3">
        <f>I81-P81</f>
        <v>-3.92</v>
      </c>
    </row>
    <row r="82">
      <c r="A82" s="0" t="inlineStr">
        <is>
          <t>S05_Bottleneck</t>
        </is>
      </c>
      <c r="B82" s="0" t="inlineStr">
        <is>
          <t>S05_G01_C</t>
        </is>
      </c>
      <c r="C82" s="3">
        <v>3834.0</v>
      </c>
      <c r="D82" s="3">
        <v>3834.0</v>
      </c>
      <c r="E82" s="3">
        <v>844.0</v>
      </c>
      <c r="F82" s="3">
        <v>844.0</v>
      </c>
      <c r="G82" s="3">
        <v>100.0</v>
      </c>
      <c r="H82" s="3">
        <v>71.93</v>
      </c>
      <c r="I82" s="3">
        <v>98.6</v>
      </c>
      <c r="J82" s="3">
        <v>762.0</v>
      </c>
      <c r="K82" s="3">
        <v>3834.0</v>
      </c>
      <c r="L82" s="3">
        <v>112.0</v>
      </c>
      <c r="M82" s="3">
        <v>96.0</v>
      </c>
      <c r="N82" s="3">
        <v>100.0</v>
      </c>
      <c r="O82" s="3">
        <v>7.77</v>
      </c>
      <c r="P82" s="3">
        <v>6.63</v>
      </c>
      <c r="Q82" s="3">
        <v>392.0</v>
      </c>
      <c r="R82" s="3">
        <f>IF(AND(ISNUMBER(J82),ISNUMBER(Q82)),J82-Q82,"")</f>
        <v>370.0</v>
      </c>
      <c r="S82" s="3">
        <f>H82-O82</f>
        <v>64.16</v>
      </c>
      <c r="T82" s="3">
        <f>I82-P82</f>
        <v>91.97</v>
      </c>
    </row>
    <row r="83">
      <c r="A83" s="0" t="inlineStr">
        <is>
          <t>S05_Bottleneck</t>
        </is>
      </c>
      <c r="B83" s="0" t="inlineStr">
        <is>
          <t>S05_G01_D</t>
        </is>
      </c>
      <c r="C83" s="3">
        <v>3834.0</v>
      </c>
      <c r="D83" s="3">
        <v>3834.0</v>
      </c>
      <c r="E83" s="3">
        <v>259.0</v>
      </c>
      <c r="F83" s="3">
        <v>247.0</v>
      </c>
      <c r="G83" s="3">
        <v>100.0</v>
      </c>
      <c r="H83" s="3">
        <v>26.49</v>
      </c>
      <c r="I83" s="3">
        <v>24.05</v>
      </c>
      <c r="J83" s="3">
        <v>349.0</v>
      </c>
      <c r="K83" s="3">
        <v>3834.0</v>
      </c>
      <c r="L83" s="3">
        <v>128.0</v>
      </c>
      <c r="M83" s="3">
        <v>89.0</v>
      </c>
      <c r="N83" s="3">
        <v>100.0</v>
      </c>
      <c r="O83" s="3">
        <v>9.1</v>
      </c>
      <c r="P83" s="3">
        <v>6.18</v>
      </c>
      <c r="Q83" s="3">
        <v>395.0</v>
      </c>
      <c r="R83" s="3">
        <f>IF(AND(ISNUMBER(J83),ISNUMBER(Q83)),J83-Q83,"")</f>
        <v>-46.0</v>
      </c>
      <c r="S83" s="3">
        <f>H83-O83</f>
        <v>17.39</v>
      </c>
      <c r="T83" s="3">
        <f>I83-P83</f>
        <v>17.87</v>
      </c>
    </row>
    <row r="84">
      <c r="A84" s="0" t="inlineStr">
        <is>
          <t>S05_Bottleneck</t>
        </is>
      </c>
      <c r="B84" s="0" t="inlineStr">
        <is>
          <t>S05_G02_C</t>
        </is>
      </c>
      <c r="C84" s="3">
        <v>3816.0</v>
      </c>
      <c r="D84" s="3">
        <v>3816.0</v>
      </c>
      <c r="E84" s="3">
        <v>707.0</v>
      </c>
      <c r="F84" s="3">
        <v>705.0</v>
      </c>
      <c r="G84" s="3">
        <v>100.0</v>
      </c>
      <c r="H84" s="3">
        <v>71.48</v>
      </c>
      <c r="I84" s="3">
        <v>85.45</v>
      </c>
      <c r="J84" s="3">
        <v>729.0</v>
      </c>
      <c r="K84" s="3">
        <v>3816.0</v>
      </c>
      <c r="L84" s="3">
        <v>167.0</v>
      </c>
      <c r="M84" s="3">
        <v>139.0</v>
      </c>
      <c r="N84" s="3">
        <v>100.0</v>
      </c>
      <c r="O84" s="3">
        <v>12.93</v>
      </c>
      <c r="P84" s="3">
        <v>11.09</v>
      </c>
      <c r="Q84" s="3">
        <v>359.0</v>
      </c>
      <c r="R84" s="3">
        <f>IF(AND(ISNUMBER(J84),ISNUMBER(Q84)),J84-Q84,"")</f>
        <v>370.0</v>
      </c>
      <c r="S84" s="3">
        <f>H84-O84</f>
        <v>58.55</v>
      </c>
      <c r="T84" s="3">
        <f>I84-P84</f>
        <v>74.36</v>
      </c>
    </row>
    <row r="85">
      <c r="A85" s="0" t="inlineStr">
        <is>
          <t>S05_Bottleneck</t>
        </is>
      </c>
      <c r="B85" s="0" t="inlineStr">
        <is>
          <t>S05_G02_D</t>
        </is>
      </c>
      <c r="C85" s="3">
        <v>3816.0</v>
      </c>
      <c r="D85" s="3">
        <v>3816.0</v>
      </c>
      <c r="E85" s="3">
        <v>400.0</v>
      </c>
      <c r="F85" s="3">
        <v>380.0</v>
      </c>
      <c r="G85" s="3">
        <v>100.0</v>
      </c>
      <c r="H85" s="3">
        <v>30.48</v>
      </c>
      <c r="I85" s="3">
        <v>31.56</v>
      </c>
      <c r="J85" s="3">
        <v>433.0</v>
      </c>
      <c r="K85" s="3">
        <v>3816.0</v>
      </c>
      <c r="L85" s="3">
        <v>99.0</v>
      </c>
      <c r="M85" s="3">
        <v>81.0</v>
      </c>
      <c r="N85" s="3">
        <v>100.0</v>
      </c>
      <c r="O85" s="3">
        <v>7.46</v>
      </c>
      <c r="P85" s="3">
        <v>6.16</v>
      </c>
      <c r="Q85" s="3">
        <v>354.0</v>
      </c>
      <c r="R85" s="3">
        <f>IF(AND(ISNUMBER(J85),ISNUMBER(Q85)),J85-Q85,"")</f>
        <v>79.0</v>
      </c>
      <c r="S85" s="3">
        <f>H85-O85</f>
        <v>23.02</v>
      </c>
      <c r="T85" s="3">
        <f>I85-P85</f>
        <v>25.4</v>
      </c>
    </row>
    <row r="86">
      <c r="A86" s="0" t="inlineStr">
        <is>
          <t>S05_Bottleneck</t>
        </is>
      </c>
      <c r="B86" s="0" t="inlineStr">
        <is>
          <t>S05_G03_C</t>
        </is>
      </c>
      <c r="C86" s="3">
        <v>3850.0</v>
      </c>
      <c r="D86" s="3">
        <v>3850.0</v>
      </c>
      <c r="E86" s="3">
        <v>872.0</v>
      </c>
      <c r="F86" s="3">
        <v>871.0</v>
      </c>
      <c r="G86" s="3">
        <v>100.0</v>
      </c>
      <c r="H86" s="3">
        <v>71.19</v>
      </c>
      <c r="I86" s="3">
        <v>97.1</v>
      </c>
      <c r="J86" s="3">
        <v>782.0</v>
      </c>
      <c r="K86" s="3">
        <v>3850.0</v>
      </c>
      <c r="L86" s="3">
        <v>301.0</v>
      </c>
      <c r="M86" s="3">
        <v>248.0</v>
      </c>
      <c r="N86" s="3">
        <v>100.0</v>
      </c>
      <c r="O86" s="3">
        <v>21.34</v>
      </c>
      <c r="P86" s="3">
        <v>17.03</v>
      </c>
      <c r="Q86" s="3">
        <v>463.0</v>
      </c>
      <c r="R86" s="3">
        <f>IF(AND(ISNUMBER(J86),ISNUMBER(Q86)),J86-Q86,"")</f>
        <v>319.0</v>
      </c>
      <c r="S86" s="3">
        <f>H86-O86</f>
        <v>49.85</v>
      </c>
      <c r="T86" s="3">
        <f>I86-P86</f>
        <v>80.07</v>
      </c>
    </row>
    <row r="87">
      <c r="A87" s="0" t="inlineStr">
        <is>
          <t>S05_Bottleneck</t>
        </is>
      </c>
      <c r="B87" s="0" t="inlineStr">
        <is>
          <t>S05_G03_D</t>
        </is>
      </c>
      <c r="C87" s="3">
        <v>3850.0</v>
      </c>
      <c r="D87" s="3">
        <v>3850.0</v>
      </c>
      <c r="E87" s="3">
        <v>543.0</v>
      </c>
      <c r="F87" s="3">
        <v>525.0</v>
      </c>
      <c r="G87" s="3">
        <v>100.0</v>
      </c>
      <c r="H87" s="3">
        <v>33.83</v>
      </c>
      <c r="I87" s="3">
        <v>39.12</v>
      </c>
      <c r="J87" s="3">
        <v>506.0</v>
      </c>
      <c r="K87" s="3">
        <v>3850.0</v>
      </c>
      <c r="L87" s="3">
        <v>146.0</v>
      </c>
      <c r="M87" s="3">
        <v>117.0</v>
      </c>
      <c r="N87" s="3">
        <v>100.0</v>
      </c>
      <c r="O87" s="3">
        <v>10.18</v>
      </c>
      <c r="P87" s="3">
        <v>8.5</v>
      </c>
      <c r="Q87" s="3">
        <v>382.0</v>
      </c>
      <c r="R87" s="3">
        <f>IF(AND(ISNUMBER(J87),ISNUMBER(Q87)),J87-Q87,"")</f>
        <v>124.0</v>
      </c>
      <c r="S87" s="3">
        <f>H87-O87</f>
        <v>23.65</v>
      </c>
      <c r="T87" s="3">
        <f>I87-P87</f>
        <v>30.62</v>
      </c>
    </row>
    <row r="88">
      <c r="A88" s="0" t="inlineStr">
        <is>
          <t>S05_Bottleneck</t>
        </is>
      </c>
      <c r="B88" s="0" t="inlineStr">
        <is>
          <t>S05_G04_C</t>
        </is>
      </c>
      <c r="C88" s="3">
        <v>3812.0</v>
      </c>
      <c r="D88" s="3">
        <v>3812.0</v>
      </c>
      <c r="E88" s="3">
        <v>772.0</v>
      </c>
      <c r="F88" s="3">
        <v>772.0</v>
      </c>
      <c r="G88" s="3">
        <v>100.0</v>
      </c>
      <c r="H88" s="3">
        <v>73.92</v>
      </c>
      <c r="I88" s="3">
        <v>98.34</v>
      </c>
      <c r="J88" s="3">
        <v>752.0</v>
      </c>
      <c r="K88" s="3">
        <v>3812.0</v>
      </c>
      <c r="L88" s="3">
        <v>130.0</v>
      </c>
      <c r="M88" s="3">
        <v>75.0</v>
      </c>
      <c r="N88" s="3">
        <v>100.0</v>
      </c>
      <c r="O88" s="3">
        <v>10.52</v>
      </c>
      <c r="P88" s="3">
        <v>5.92</v>
      </c>
      <c r="Q88" s="3">
        <v>354.0</v>
      </c>
      <c r="R88" s="3">
        <f>IF(AND(ISNUMBER(J88),ISNUMBER(Q88)),J88-Q88,"")</f>
        <v>398.0</v>
      </c>
      <c r="S88" s="3">
        <f>H88-O88</f>
        <v>63.4</v>
      </c>
      <c r="T88" s="3">
        <f>I88-P88</f>
        <v>92.42</v>
      </c>
    </row>
    <row r="89">
      <c r="A89" s="0" t="inlineStr">
        <is>
          <t>S05_Bottleneck</t>
        </is>
      </c>
      <c r="B89" s="0" t="inlineStr">
        <is>
          <t>S05_G04_D</t>
        </is>
      </c>
      <c r="C89" s="3">
        <v>3812.0</v>
      </c>
      <c r="D89" s="3">
        <v>3812.0</v>
      </c>
      <c r="E89" s="3">
        <v>627.0</v>
      </c>
      <c r="F89" s="3">
        <v>610.0</v>
      </c>
      <c r="G89" s="3">
        <v>100.0</v>
      </c>
      <c r="H89" s="3">
        <v>42.88</v>
      </c>
      <c r="I89" s="3">
        <v>49.67</v>
      </c>
      <c r="J89" s="3">
        <v>537.0</v>
      </c>
      <c r="K89" s="3">
        <v>3812.0</v>
      </c>
      <c r="L89" s="3">
        <v>207.0</v>
      </c>
      <c r="M89" s="3">
        <v>184.0</v>
      </c>
      <c r="N89" s="3">
        <v>100.0</v>
      </c>
      <c r="O89" s="3">
        <v>15.09</v>
      </c>
      <c r="P89" s="3">
        <v>12.92</v>
      </c>
      <c r="Q89" s="3">
        <v>419.0</v>
      </c>
      <c r="R89" s="3">
        <f>IF(AND(ISNUMBER(J89),ISNUMBER(Q89)),J89-Q89,"")</f>
        <v>118.0</v>
      </c>
      <c r="S89" s="3">
        <f>H89-O89</f>
        <v>27.79</v>
      </c>
      <c r="T89" s="3">
        <f>I89-P89</f>
        <v>36.75</v>
      </c>
    </row>
    <row r="90">
      <c r="A90" s="0" t="inlineStr">
        <is>
          <t>S05_Bottleneck</t>
        </is>
      </c>
      <c r="B90" s="0" t="inlineStr">
        <is>
          <t>S05_G05_C</t>
        </is>
      </c>
      <c r="C90" s="3">
        <v>3850.0</v>
      </c>
      <c r="D90" s="3">
        <v>3850.0</v>
      </c>
      <c r="E90" s="3">
        <v>869.0</v>
      </c>
      <c r="F90" s="3">
        <v>869.0</v>
      </c>
      <c r="G90" s="3">
        <v>100.0</v>
      </c>
      <c r="H90" s="3">
        <v>70.1</v>
      </c>
      <c r="I90" s="3">
        <v>98.19</v>
      </c>
      <c r="J90" s="3">
        <v>742.0</v>
      </c>
      <c r="K90" s="3">
        <v>3850.0</v>
      </c>
      <c r="L90" s="3">
        <v>142.0</v>
      </c>
      <c r="M90" s="3">
        <v>130.0</v>
      </c>
      <c r="N90" s="3">
        <v>100.0</v>
      </c>
      <c r="O90" s="3">
        <v>8.81</v>
      </c>
      <c r="P90" s="3">
        <v>8.55</v>
      </c>
      <c r="Q90" s="3">
        <v>417.0</v>
      </c>
      <c r="R90" s="3">
        <f>IF(AND(ISNUMBER(J90),ISNUMBER(Q90)),J90-Q90,"")</f>
        <v>325.0</v>
      </c>
      <c r="S90" s="3">
        <f>H90-O90</f>
        <v>61.29</v>
      </c>
      <c r="T90" s="3">
        <f>I90-P90</f>
        <v>89.64</v>
      </c>
    </row>
    <row r="91">
      <c r="A91" s="0" t="inlineStr">
        <is>
          <t>S05_Bottleneck</t>
        </is>
      </c>
      <c r="B91" s="0" t="inlineStr">
        <is>
          <t>S05_G05_D</t>
        </is>
      </c>
      <c r="C91" s="3">
        <v>3850.0</v>
      </c>
      <c r="D91" s="3">
        <v>3850.0</v>
      </c>
      <c r="E91" s="3">
        <v>235.0</v>
      </c>
      <c r="F91" s="3">
        <v>231.0</v>
      </c>
      <c r="G91" s="3">
        <v>100.0</v>
      </c>
      <c r="H91" s="3">
        <v>19.46</v>
      </c>
      <c r="I91" s="3">
        <v>20.0</v>
      </c>
      <c r="J91" s="3">
        <v>358.0</v>
      </c>
      <c r="K91" s="3">
        <v>3850.0</v>
      </c>
      <c r="L91" s="3">
        <v>50.0</v>
      </c>
      <c r="M91" s="3">
        <v>41.0</v>
      </c>
      <c r="N91" s="3">
        <v>100.0</v>
      </c>
      <c r="O91" s="3">
        <v>4.19</v>
      </c>
      <c r="P91" s="3">
        <v>3.45</v>
      </c>
      <c r="Q91" s="3">
        <v>309.0</v>
      </c>
      <c r="R91" s="3">
        <f>IF(AND(ISNUMBER(J91),ISNUMBER(Q91)),J91-Q91,"")</f>
        <v>49.0</v>
      </c>
      <c r="S91" s="3">
        <f>H91-O91</f>
        <v>15.27</v>
      </c>
      <c r="T91" s="3">
        <f>I91-P91</f>
        <v>16.55</v>
      </c>
    </row>
    <row r="92">
      <c r="A92" s="0" t="inlineStr">
        <is>
          <t>S05_Bottleneck</t>
        </is>
      </c>
      <c r="B92" s="0" t="inlineStr">
        <is>
          <t>S05_G06_C</t>
        </is>
      </c>
      <c r="C92" s="3">
        <v>3830.0</v>
      </c>
      <c r="D92" s="3">
        <v>3830.0</v>
      </c>
      <c r="E92" s="3">
        <v>813.0</v>
      </c>
      <c r="F92" s="3">
        <v>813.0</v>
      </c>
      <c r="G92" s="3">
        <v>100.0</v>
      </c>
      <c r="H92" s="3">
        <v>70.98</v>
      </c>
      <c r="I92" s="3">
        <v>95.31</v>
      </c>
      <c r="J92" s="3">
        <v>736.0</v>
      </c>
      <c r="K92" s="3">
        <v>3830.0</v>
      </c>
      <c r="L92" s="3">
        <v>171.0</v>
      </c>
      <c r="M92" s="3">
        <v>162.0</v>
      </c>
      <c r="N92" s="3">
        <v>100.0</v>
      </c>
      <c r="O92" s="3">
        <v>12.51</v>
      </c>
      <c r="P92" s="3">
        <v>11.7</v>
      </c>
      <c r="Q92" s="3">
        <v>395.0</v>
      </c>
      <c r="R92" s="3">
        <f>IF(AND(ISNUMBER(J92),ISNUMBER(Q92)),J92-Q92,"")</f>
        <v>341.0</v>
      </c>
      <c r="S92" s="3">
        <f>H92-O92</f>
        <v>58.47</v>
      </c>
      <c r="T92" s="3">
        <f>I92-P92</f>
        <v>83.61</v>
      </c>
    </row>
    <row r="93">
      <c r="A93" s="0" t="inlineStr">
        <is>
          <t>S05_Bottleneck</t>
        </is>
      </c>
      <c r="B93" s="0" t="inlineStr">
        <is>
          <t>S05_G06_D</t>
        </is>
      </c>
      <c r="C93" s="3">
        <v>3830.0</v>
      </c>
      <c r="D93" s="3">
        <v>3830.0</v>
      </c>
      <c r="E93" s="3">
        <v>744.0</v>
      </c>
      <c r="F93" s="3">
        <v>742.0</v>
      </c>
      <c r="G93" s="3">
        <v>100.0</v>
      </c>
      <c r="H93" s="3">
        <v>51.56</v>
      </c>
      <c r="I93" s="3">
        <v>56.99</v>
      </c>
      <c r="J93" s="3">
        <v>671.0</v>
      </c>
      <c r="K93" s="3">
        <v>3830.0</v>
      </c>
      <c r="L93" s="3">
        <v>105.0</v>
      </c>
      <c r="M93" s="3">
        <v>65.0</v>
      </c>
      <c r="N93" s="3">
        <v>100.0</v>
      </c>
      <c r="O93" s="3">
        <v>8.58</v>
      </c>
      <c r="P93" s="3">
        <v>5.5</v>
      </c>
      <c r="Q93" s="3">
        <v>323.0</v>
      </c>
      <c r="R93" s="3">
        <f>IF(AND(ISNUMBER(J93),ISNUMBER(Q93)),J93-Q93,"")</f>
        <v>348.0</v>
      </c>
      <c r="S93" s="3">
        <f>H93-O93</f>
        <v>42.98</v>
      </c>
      <c r="T93" s="3">
        <f>I93-P93</f>
        <v>51.49</v>
      </c>
    </row>
    <row r="94">
      <c r="A94" s="0" t="inlineStr">
        <is>
          <t>S05_Bottleneck</t>
        </is>
      </c>
      <c r="B94" s="0" t="inlineStr">
        <is>
          <t>S05_G07_C</t>
        </is>
      </c>
      <c r="C94" s="3">
        <v>3834.0</v>
      </c>
      <c r="D94" s="3">
        <v>3834.0</v>
      </c>
      <c r="E94" s="3">
        <v>825.0</v>
      </c>
      <c r="F94" s="3">
        <v>825.0</v>
      </c>
      <c r="G94" s="3">
        <v>100.0</v>
      </c>
      <c r="H94" s="3">
        <v>69.48</v>
      </c>
      <c r="I94" s="3">
        <v>92.7</v>
      </c>
      <c r="J94" s="3">
        <v>728.0</v>
      </c>
      <c r="K94" s="3">
        <v>3834.0</v>
      </c>
      <c r="L94" s="3">
        <v>181.0</v>
      </c>
      <c r="M94" s="3">
        <v>159.0</v>
      </c>
      <c r="N94" s="3">
        <v>100.0</v>
      </c>
      <c r="O94" s="3">
        <v>12.9</v>
      </c>
      <c r="P94" s="3">
        <v>11.83</v>
      </c>
      <c r="Q94" s="3">
        <v>385.0</v>
      </c>
      <c r="R94" s="3">
        <f>IF(AND(ISNUMBER(J94),ISNUMBER(Q94)),J94-Q94,"")</f>
        <v>343.0</v>
      </c>
      <c r="S94" s="3">
        <f>H94-O94</f>
        <v>56.58</v>
      </c>
      <c r="T94" s="3">
        <f>I94-P94</f>
        <v>80.87</v>
      </c>
    </row>
    <row r="95">
      <c r="A95" s="0" t="inlineStr">
        <is>
          <t>S05_Bottleneck</t>
        </is>
      </c>
      <c r="B95" s="0" t="inlineStr">
        <is>
          <t>S05_G07_D</t>
        </is>
      </c>
      <c r="C95" s="3">
        <v>3834.0</v>
      </c>
      <c r="D95" s="3">
        <v>3834.0</v>
      </c>
      <c r="E95" s="3">
        <v>188.0</v>
      </c>
      <c r="F95" s="3">
        <v>154.0</v>
      </c>
      <c r="G95" s="3">
        <v>100.0</v>
      </c>
      <c r="H95" s="3">
        <v>17.57</v>
      </c>
      <c r="I95" s="3">
        <v>14.39</v>
      </c>
      <c r="J95" s="3">
        <v>324.0</v>
      </c>
      <c r="K95" s="3">
        <v>3834.0</v>
      </c>
      <c r="L95" s="3">
        <v>113.0</v>
      </c>
      <c r="M95" s="3">
        <v>102.0</v>
      </c>
      <c r="N95" s="3">
        <v>100.0</v>
      </c>
      <c r="O95" s="3">
        <v>9.27</v>
      </c>
      <c r="P95" s="3">
        <v>6.86</v>
      </c>
      <c r="Q95" s="3">
        <v>409.0</v>
      </c>
      <c r="R95" s="3">
        <f>IF(AND(ISNUMBER(J95),ISNUMBER(Q95)),J95-Q95,"")</f>
        <v>-85.0</v>
      </c>
      <c r="S95" s="3">
        <f>H95-O95</f>
        <v>8.3</v>
      </c>
      <c r="T95" s="3">
        <f>I95-P95</f>
        <v>7.53</v>
      </c>
    </row>
    <row r="96">
      <c r="A96" s="0" t="inlineStr">
        <is>
          <t>S05_Bottleneck</t>
        </is>
      </c>
      <c r="B96" s="0" t="inlineStr">
        <is>
          <t>S05_G08_C</t>
        </is>
      </c>
      <c r="C96" s="3">
        <v>3822.0</v>
      </c>
      <c r="D96" s="3">
        <v>3822.0</v>
      </c>
      <c r="E96" s="3">
        <v>885.0</v>
      </c>
      <c r="F96" s="3">
        <v>885.0</v>
      </c>
      <c r="G96" s="3">
        <v>100.0</v>
      </c>
      <c r="H96" s="3">
        <v>70.06</v>
      </c>
      <c r="I96" s="3">
        <v>94.86</v>
      </c>
      <c r="J96" s="3">
        <v>779.0</v>
      </c>
      <c r="K96" s="3">
        <v>3822.0</v>
      </c>
      <c r="L96" s="3">
        <v>316.0</v>
      </c>
      <c r="M96" s="3">
        <v>270.0</v>
      </c>
      <c r="N96" s="3">
        <v>100.0</v>
      </c>
      <c r="O96" s="3">
        <v>19.87</v>
      </c>
      <c r="P96" s="3">
        <v>17.67</v>
      </c>
      <c r="Q96" s="3">
        <v>476.0</v>
      </c>
      <c r="R96" s="3">
        <f>IF(AND(ISNUMBER(J96),ISNUMBER(Q96)),J96-Q96,"")</f>
        <v>303.0</v>
      </c>
      <c r="S96" s="3">
        <f>H96-O96</f>
        <v>50.19</v>
      </c>
      <c r="T96" s="3">
        <f>I96-P96</f>
        <v>77.19</v>
      </c>
    </row>
    <row r="97">
      <c r="A97" s="0" t="inlineStr">
        <is>
          <t>S05_Bottleneck</t>
        </is>
      </c>
      <c r="B97" s="0" t="inlineStr">
        <is>
          <t>S05_G08_D</t>
        </is>
      </c>
      <c r="C97" s="3">
        <v>3822.0</v>
      </c>
      <c r="D97" s="3">
        <v>3822.0</v>
      </c>
      <c r="E97" s="3">
        <v>712.0</v>
      </c>
      <c r="F97" s="3">
        <v>704.0</v>
      </c>
      <c r="G97" s="3">
        <v>100.0</v>
      </c>
      <c r="H97" s="3">
        <v>44.03</v>
      </c>
      <c r="I97" s="3">
        <v>57.56</v>
      </c>
      <c r="J97" s="3">
        <v>546.0</v>
      </c>
      <c r="K97" s="3">
        <v>3822.0</v>
      </c>
      <c r="L97" s="3">
        <v>158.0</v>
      </c>
      <c r="M97" s="3">
        <v>143.0</v>
      </c>
      <c r="N97" s="3">
        <v>100.0</v>
      </c>
      <c r="O97" s="3">
        <v>13.47</v>
      </c>
      <c r="P97" s="3">
        <v>11.3</v>
      </c>
      <c r="Q97" s="3">
        <v>365.0</v>
      </c>
      <c r="R97" s="3">
        <f>IF(AND(ISNUMBER(J97),ISNUMBER(Q97)),J97-Q97,"")</f>
        <v>181.0</v>
      </c>
      <c r="S97" s="3">
        <f>H97-O97</f>
        <v>30.56</v>
      </c>
      <c r="T97" s="3">
        <f>I97-P97</f>
        <v>46.26</v>
      </c>
    </row>
    <row r="98">
      <c r="A98" s="0" t="inlineStr">
        <is>
          <t>S05_Bottleneck</t>
        </is>
      </c>
      <c r="B98" s="0" t="inlineStr">
        <is>
          <t>S05_G09_C</t>
        </is>
      </c>
      <c r="C98" s="3">
        <v>3850.0</v>
      </c>
      <c r="D98" s="3">
        <v>3850.0</v>
      </c>
      <c r="E98" s="3">
        <v>706.0</v>
      </c>
      <c r="F98" s="3">
        <v>706.0</v>
      </c>
      <c r="G98" s="3">
        <v>100.0</v>
      </c>
      <c r="H98" s="3">
        <v>71.6</v>
      </c>
      <c r="I98" s="3">
        <v>86.95</v>
      </c>
      <c r="J98" s="3">
        <v>719.0</v>
      </c>
      <c r="K98" s="3">
        <v>3850.0</v>
      </c>
      <c r="L98" s="3">
        <v>145.0</v>
      </c>
      <c r="M98" s="3">
        <v>117.0</v>
      </c>
      <c r="N98" s="3">
        <v>100.0</v>
      </c>
      <c r="O98" s="3">
        <v>9.47</v>
      </c>
      <c r="P98" s="3">
        <v>7.8</v>
      </c>
      <c r="Q98" s="3">
        <v>416.0</v>
      </c>
      <c r="R98" s="3">
        <f>IF(AND(ISNUMBER(J98),ISNUMBER(Q98)),J98-Q98,"")</f>
        <v>303.0</v>
      </c>
      <c r="S98" s="3">
        <f>H98-O98</f>
        <v>62.13</v>
      </c>
      <c r="T98" s="3">
        <f>I98-P98</f>
        <v>79.15</v>
      </c>
    </row>
    <row r="99">
      <c r="A99" s="0" t="inlineStr">
        <is>
          <t>S05_Bottleneck</t>
        </is>
      </c>
      <c r="B99" s="0" t="inlineStr">
        <is>
          <t>S05_G09_D</t>
        </is>
      </c>
      <c r="C99" s="3">
        <v>3850.0</v>
      </c>
      <c r="D99" s="3">
        <v>3850.0</v>
      </c>
      <c r="E99" s="3">
        <v>582.0</v>
      </c>
      <c r="F99" s="3">
        <v>574.0</v>
      </c>
      <c r="G99" s="3">
        <v>100.0</v>
      </c>
      <c r="H99" s="3">
        <v>40.26</v>
      </c>
      <c r="I99" s="3">
        <v>43.13</v>
      </c>
      <c r="J99" s="3">
        <v>556.0</v>
      </c>
      <c r="K99" s="3">
        <v>3850.0</v>
      </c>
      <c r="L99" s="3">
        <v>111.0</v>
      </c>
      <c r="M99" s="3">
        <v>98.0</v>
      </c>
      <c r="N99" s="3">
        <v>100.0</v>
      </c>
      <c r="O99" s="3">
        <v>8.12</v>
      </c>
      <c r="P99" s="3">
        <v>6.93</v>
      </c>
      <c r="Q99" s="3">
        <v>384.0</v>
      </c>
      <c r="R99" s="3">
        <f>IF(AND(ISNUMBER(J99),ISNUMBER(Q99)),J99-Q99,"")</f>
        <v>172.0</v>
      </c>
      <c r="S99" s="3">
        <f>H99-O99</f>
        <v>32.14</v>
      </c>
      <c r="T99" s="3">
        <f>I99-P99</f>
        <v>36.2</v>
      </c>
    </row>
    <row r="100">
      <c r="A100" s="0" t="inlineStr">
        <is>
          <t>S05_Bottleneck</t>
        </is>
      </c>
      <c r="B100" s="0" t="inlineStr">
        <is>
          <t>S05_G10_C</t>
        </is>
      </c>
      <c r="C100" s="3">
        <v>3800.0</v>
      </c>
      <c r="D100" s="3">
        <v>3800.0</v>
      </c>
      <c r="E100" s="3">
        <v>814.0</v>
      </c>
      <c r="F100" s="3">
        <v>813.0</v>
      </c>
      <c r="G100" s="3">
        <v>100.0</v>
      </c>
      <c r="H100" s="3">
        <v>72.37</v>
      </c>
      <c r="I100" s="3">
        <v>97.6</v>
      </c>
      <c r="J100" s="3">
        <v>758.0</v>
      </c>
      <c r="K100" s="3">
        <v>3800.0</v>
      </c>
      <c r="L100" s="3">
        <v>322.0</v>
      </c>
      <c r="M100" s="3">
        <v>304.0</v>
      </c>
      <c r="N100" s="3">
        <v>100.0</v>
      </c>
      <c r="O100" s="3">
        <v>20.21</v>
      </c>
      <c r="P100" s="3">
        <v>19.95</v>
      </c>
      <c r="Q100" s="3">
        <v>477.0</v>
      </c>
      <c r="R100" s="3">
        <f>IF(AND(ISNUMBER(J100),ISNUMBER(Q100)),J100-Q100,"")</f>
        <v>281.0</v>
      </c>
      <c r="S100" s="3">
        <f>H100-O100</f>
        <v>52.16</v>
      </c>
      <c r="T100" s="3">
        <f>I100-P100</f>
        <v>77.65</v>
      </c>
    </row>
    <row r="101">
      <c r="A101" s="0" t="inlineStr">
        <is>
          <t>S05_Bottleneck</t>
        </is>
      </c>
      <c r="B101" s="0" t="inlineStr">
        <is>
          <t>S05_G10_D</t>
        </is>
      </c>
      <c r="C101" s="3">
        <v>3800.0</v>
      </c>
      <c r="D101" s="3">
        <v>3800.0</v>
      </c>
      <c r="E101" s="3">
        <v>229.0</v>
      </c>
      <c r="F101" s="3">
        <v>225.0</v>
      </c>
      <c r="G101" s="3">
        <v>100.0</v>
      </c>
      <c r="H101" s="3">
        <v>19.71</v>
      </c>
      <c r="I101" s="3">
        <v>22.82</v>
      </c>
      <c r="J101" s="3">
        <v>306.0</v>
      </c>
      <c r="K101" s="3">
        <v>3800.0</v>
      </c>
      <c r="L101" s="3">
        <v>571.0</v>
      </c>
      <c r="M101" s="3">
        <v>524.0</v>
      </c>
      <c r="N101" s="3">
        <v>100.0</v>
      </c>
      <c r="O101" s="3">
        <v>30.38</v>
      </c>
      <c r="P101" s="3">
        <v>27.07</v>
      </c>
      <c r="Q101" s="3">
        <v>696.0</v>
      </c>
      <c r="R101" s="3">
        <f>IF(AND(ISNUMBER(J101),ISNUMBER(Q101)),J101-Q101,"")</f>
        <v>-390.0</v>
      </c>
      <c r="S101" s="3">
        <f>H101-O101</f>
        <v>-10.67</v>
      </c>
      <c r="T101" s="3">
        <f>I101-P101</f>
        <v>-4.25</v>
      </c>
    </row>
  </sheetData>
  <autoFilter ref="A1:T101"/>
</worksheet>
</file>